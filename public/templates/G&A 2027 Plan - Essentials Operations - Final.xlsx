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ad.prologis.com\offices\North America\USA\San Francisco\corpfpa\G&amp;A\Reforecast Folders\2027\"/>
    </mc:Choice>
  </mc:AlternateContent>
  <xr:revisionPtr revIDLastSave="0" documentId="8_{D6839906-46F3-4BFB-875C-E0321640E733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ummary" sheetId="5" r:id="rId1"/>
    <sheet name="Investment Case Asks - Summary" sheetId="6" r:id="rId2"/>
    <sheet name="Investment Case Asks - Monthly" sheetId="11" r:id="rId3"/>
    <sheet name="Questions to Ask" sheetId="9" r:id="rId4"/>
    <sheet name="Baseline Support --&gt;" sheetId="10" r:id="rId5"/>
    <sheet name="Base - Payroll" sheetId="7" r:id="rId6"/>
    <sheet name="Base - Non-Payroll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1" l="1"/>
  <c r="H3" i="7"/>
  <c r="I3" i="7" s="1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E112" i="5"/>
  <c r="F112" i="5"/>
  <c r="E111" i="5"/>
  <c r="F111" i="5"/>
  <c r="E110" i="5"/>
  <c r="F110" i="5"/>
  <c r="E109" i="5"/>
  <c r="F109" i="5"/>
  <c r="E108" i="5"/>
  <c r="F108" i="5"/>
  <c r="E107" i="5"/>
  <c r="F107" i="5"/>
  <c r="E106" i="5"/>
  <c r="F106" i="5"/>
  <c r="E105" i="5"/>
  <c r="F105" i="5"/>
  <c r="E104" i="5"/>
  <c r="F104" i="5"/>
  <c r="E103" i="5"/>
  <c r="F103" i="5"/>
  <c r="E102" i="5"/>
  <c r="F102" i="5"/>
  <c r="E101" i="5"/>
  <c r="F101" i="5"/>
  <c r="E100" i="5"/>
  <c r="F100" i="5"/>
  <c r="E99" i="5"/>
  <c r="F99" i="5"/>
  <c r="E98" i="5"/>
  <c r="F98" i="5"/>
  <c r="E97" i="5"/>
  <c r="F97" i="5"/>
  <c r="E96" i="5"/>
  <c r="F96" i="5"/>
  <c r="E95" i="5"/>
  <c r="F95" i="5"/>
  <c r="E92" i="5"/>
  <c r="F92" i="5"/>
  <c r="E89" i="5"/>
  <c r="F89" i="5"/>
  <c r="E88" i="5"/>
  <c r="F88" i="5"/>
  <c r="E83" i="5"/>
  <c r="F83" i="5"/>
  <c r="A28" i="6" l="1"/>
  <c r="B28" i="6"/>
  <c r="C28" i="6"/>
  <c r="A29" i="6"/>
  <c r="B29" i="6"/>
  <c r="C29" i="6"/>
  <c r="A30" i="6"/>
  <c r="B30" i="6"/>
  <c r="C30" i="6"/>
  <c r="A31" i="6"/>
  <c r="B31" i="6"/>
  <c r="C31" i="6"/>
  <c r="A32" i="6"/>
  <c r="B32" i="6"/>
  <c r="C32" i="6"/>
  <c r="A33" i="6"/>
  <c r="B33" i="6"/>
  <c r="C33" i="6"/>
  <c r="A34" i="6"/>
  <c r="B34" i="6"/>
  <c r="C34" i="6"/>
  <c r="A35" i="6"/>
  <c r="B35" i="6"/>
  <c r="C35" i="6"/>
  <c r="A36" i="6"/>
  <c r="B36" i="6"/>
  <c r="C36" i="6"/>
  <c r="A37" i="6"/>
  <c r="B37" i="6"/>
  <c r="C37" i="6"/>
  <c r="A38" i="6"/>
  <c r="B38" i="6"/>
  <c r="C38" i="6"/>
  <c r="A39" i="6"/>
  <c r="B39" i="6"/>
  <c r="C39" i="6"/>
  <c r="A40" i="6"/>
  <c r="B40" i="6"/>
  <c r="C40" i="6"/>
  <c r="A41" i="6"/>
  <c r="B41" i="6"/>
  <c r="C41" i="6"/>
  <c r="A42" i="6"/>
  <c r="B42" i="6"/>
  <c r="C42" i="6"/>
  <c r="A5" i="6"/>
  <c r="B5" i="6"/>
  <c r="C5" i="6"/>
  <c r="D5" i="6"/>
  <c r="E5" i="6"/>
  <c r="F5" i="6"/>
  <c r="G5" i="6"/>
  <c r="H5" i="6"/>
  <c r="R5" i="6"/>
  <c r="A6" i="6"/>
  <c r="B6" i="6"/>
  <c r="C6" i="6"/>
  <c r="D6" i="6"/>
  <c r="E6" i="6"/>
  <c r="F6" i="6"/>
  <c r="G6" i="6"/>
  <c r="H6" i="6"/>
  <c r="R6" i="6"/>
  <c r="A7" i="6"/>
  <c r="B7" i="6"/>
  <c r="C7" i="6"/>
  <c r="D7" i="6"/>
  <c r="E7" i="6"/>
  <c r="F7" i="6"/>
  <c r="G7" i="6"/>
  <c r="H7" i="6"/>
  <c r="R7" i="6"/>
  <c r="A8" i="6"/>
  <c r="B8" i="6"/>
  <c r="C8" i="6"/>
  <c r="D8" i="6"/>
  <c r="E8" i="6"/>
  <c r="F8" i="6"/>
  <c r="G8" i="6"/>
  <c r="H8" i="6"/>
  <c r="R8" i="6"/>
  <c r="A9" i="6"/>
  <c r="B9" i="6"/>
  <c r="C9" i="6"/>
  <c r="D9" i="6"/>
  <c r="E9" i="6"/>
  <c r="F9" i="6"/>
  <c r="G9" i="6"/>
  <c r="H9" i="6"/>
  <c r="R9" i="6"/>
  <c r="A10" i="6"/>
  <c r="B10" i="6"/>
  <c r="C10" i="6"/>
  <c r="D10" i="6"/>
  <c r="E10" i="6"/>
  <c r="F10" i="6"/>
  <c r="G10" i="6"/>
  <c r="H10" i="6"/>
  <c r="R10" i="6"/>
  <c r="A11" i="6"/>
  <c r="B11" i="6"/>
  <c r="C11" i="6"/>
  <c r="D11" i="6"/>
  <c r="E11" i="6"/>
  <c r="F11" i="6"/>
  <c r="G11" i="6"/>
  <c r="H11" i="6"/>
  <c r="R11" i="6"/>
  <c r="A12" i="6"/>
  <c r="B12" i="6"/>
  <c r="C12" i="6"/>
  <c r="D12" i="6"/>
  <c r="E12" i="6"/>
  <c r="F12" i="6"/>
  <c r="G12" i="6"/>
  <c r="H12" i="6"/>
  <c r="R12" i="6"/>
  <c r="A13" i="6"/>
  <c r="B13" i="6"/>
  <c r="C13" i="6"/>
  <c r="D13" i="6"/>
  <c r="E13" i="6"/>
  <c r="F13" i="6"/>
  <c r="G13" i="6"/>
  <c r="H13" i="6"/>
  <c r="R13" i="6"/>
  <c r="A14" i="6"/>
  <c r="B14" i="6"/>
  <c r="C14" i="6"/>
  <c r="D14" i="6"/>
  <c r="E14" i="6"/>
  <c r="F14" i="6"/>
  <c r="G14" i="6"/>
  <c r="H14" i="6"/>
  <c r="R14" i="6"/>
  <c r="A15" i="6"/>
  <c r="B15" i="6"/>
  <c r="C15" i="6"/>
  <c r="D15" i="6"/>
  <c r="E15" i="6"/>
  <c r="F15" i="6"/>
  <c r="G15" i="6"/>
  <c r="H15" i="6"/>
  <c r="R15" i="6"/>
  <c r="A16" i="6"/>
  <c r="B16" i="6"/>
  <c r="C16" i="6"/>
  <c r="D16" i="6"/>
  <c r="E16" i="6"/>
  <c r="F16" i="6"/>
  <c r="G16" i="6"/>
  <c r="H16" i="6"/>
  <c r="R16" i="6"/>
  <c r="A17" i="6"/>
  <c r="B17" i="6"/>
  <c r="C17" i="6"/>
  <c r="D17" i="6"/>
  <c r="E17" i="6"/>
  <c r="F17" i="6"/>
  <c r="G17" i="6"/>
  <c r="H17" i="6"/>
  <c r="R17" i="6"/>
  <c r="A18" i="6"/>
  <c r="B18" i="6"/>
  <c r="C18" i="6"/>
  <c r="D18" i="6"/>
  <c r="E18" i="6"/>
  <c r="F18" i="6"/>
  <c r="G18" i="6"/>
  <c r="H18" i="6"/>
  <c r="R18" i="6"/>
  <c r="A19" i="6"/>
  <c r="B19" i="6"/>
  <c r="C19" i="6"/>
  <c r="D19" i="6"/>
  <c r="E19" i="6"/>
  <c r="F19" i="6"/>
  <c r="G19" i="6"/>
  <c r="H19" i="6"/>
  <c r="R19" i="6"/>
  <c r="A20" i="6"/>
  <c r="B20" i="6"/>
  <c r="C20" i="6"/>
  <c r="D20" i="6"/>
  <c r="E20" i="6"/>
  <c r="F20" i="6"/>
  <c r="G20" i="6"/>
  <c r="H20" i="6"/>
  <c r="R20" i="6"/>
  <c r="D44" i="11"/>
  <c r="E28" i="11"/>
  <c r="G28" i="11"/>
  <c r="H28" i="11"/>
  <c r="I28" i="11"/>
  <c r="J28" i="11"/>
  <c r="K28" i="11"/>
  <c r="L28" i="11"/>
  <c r="M28" i="11"/>
  <c r="N28" i="11"/>
  <c r="O28" i="11"/>
  <c r="P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D29" i="6" s="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E29" i="6" s="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F29" i="6" s="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D30" i="6" s="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E30" i="6" s="1"/>
  <c r="AE30" i="11"/>
  <c r="AF30" i="11"/>
  <c r="AG30" i="11"/>
  <c r="AH30" i="11"/>
  <c r="AI30" i="11"/>
  <c r="AJ30" i="11"/>
  <c r="AK30" i="11"/>
  <c r="AL30" i="11"/>
  <c r="AM30" i="11"/>
  <c r="AN30" i="11"/>
  <c r="AO30" i="11"/>
  <c r="AP30" i="11"/>
  <c r="AQ30" i="11"/>
  <c r="F30" i="6" s="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D31" i="6" s="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E31" i="6" s="1"/>
  <c r="AE31" i="11"/>
  <c r="AF31" i="11"/>
  <c r="AG31" i="11"/>
  <c r="AH31" i="11"/>
  <c r="AI31" i="11"/>
  <c r="AJ31" i="11"/>
  <c r="AK31" i="11"/>
  <c r="AL31" i="11"/>
  <c r="AM31" i="11"/>
  <c r="AN31" i="11"/>
  <c r="AO31" i="11"/>
  <c r="AP31" i="11"/>
  <c r="AQ31" i="11"/>
  <c r="F31" i="6" s="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D32" i="6" s="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E32" i="6" s="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F32" i="6" s="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D33" i="6" s="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E33" i="6" s="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F33" i="6" s="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D34" i="6" s="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E34" i="6" s="1"/>
  <c r="AE34" i="11"/>
  <c r="AF34" i="11"/>
  <c r="AG34" i="11"/>
  <c r="AH34" i="11"/>
  <c r="AI34" i="11"/>
  <c r="AJ34" i="11"/>
  <c r="AK34" i="11"/>
  <c r="AL34" i="11"/>
  <c r="AM34" i="11"/>
  <c r="AN34" i="11"/>
  <c r="AO34" i="11"/>
  <c r="AP34" i="11"/>
  <c r="AQ34" i="11"/>
  <c r="F34" i="6" s="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D35" i="6" s="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E35" i="6" s="1"/>
  <c r="AE35" i="11"/>
  <c r="AF35" i="11"/>
  <c r="AG35" i="11"/>
  <c r="AH35" i="11"/>
  <c r="AI35" i="11"/>
  <c r="AJ35" i="11"/>
  <c r="AK35" i="11"/>
  <c r="AL35" i="11"/>
  <c r="AM35" i="11"/>
  <c r="AN35" i="11"/>
  <c r="AO35" i="11"/>
  <c r="AP35" i="11"/>
  <c r="AQ35" i="11"/>
  <c r="F35" i="6" s="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D36" i="6" s="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E36" i="6" s="1"/>
  <c r="AE36" i="11"/>
  <c r="AF36" i="11"/>
  <c r="AG36" i="11"/>
  <c r="AH36" i="11"/>
  <c r="AI36" i="11"/>
  <c r="AJ36" i="11"/>
  <c r="AK36" i="11"/>
  <c r="AL36" i="11"/>
  <c r="AM36" i="11"/>
  <c r="AN36" i="11"/>
  <c r="AO36" i="11"/>
  <c r="AP36" i="11"/>
  <c r="AQ36" i="11"/>
  <c r="F36" i="6" s="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D37" i="6" s="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E37" i="6" s="1"/>
  <c r="AE37" i="11"/>
  <c r="AF37" i="11"/>
  <c r="AG37" i="11"/>
  <c r="AH37" i="11"/>
  <c r="AI37" i="11"/>
  <c r="AJ37" i="11"/>
  <c r="AK37" i="11"/>
  <c r="AL37" i="11"/>
  <c r="AM37" i="11"/>
  <c r="AN37" i="11"/>
  <c r="AO37" i="11"/>
  <c r="AP37" i="11"/>
  <c r="AQ37" i="11"/>
  <c r="F37" i="6" s="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D38" i="6" s="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E38" i="6" s="1"/>
  <c r="AE38" i="11"/>
  <c r="AF38" i="11"/>
  <c r="AG38" i="11"/>
  <c r="AH38" i="11"/>
  <c r="AI38" i="11"/>
  <c r="AJ38" i="11"/>
  <c r="AK38" i="11"/>
  <c r="AL38" i="11"/>
  <c r="AM38" i="11"/>
  <c r="AN38" i="11"/>
  <c r="AO38" i="11"/>
  <c r="AP38" i="11"/>
  <c r="AQ38" i="11"/>
  <c r="F38" i="6" s="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D39" i="6" s="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E39" i="6" s="1"/>
  <c r="AE39" i="11"/>
  <c r="AF39" i="11"/>
  <c r="AG39" i="11"/>
  <c r="AH39" i="11"/>
  <c r="AI39" i="11"/>
  <c r="AJ39" i="11"/>
  <c r="AK39" i="11"/>
  <c r="AL39" i="11"/>
  <c r="AM39" i="11"/>
  <c r="AN39" i="11"/>
  <c r="AO39" i="11"/>
  <c r="AP39" i="11"/>
  <c r="AQ39" i="11"/>
  <c r="F39" i="6" s="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D40" i="6" s="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E40" i="6" s="1"/>
  <c r="AE40" i="11"/>
  <c r="AF40" i="11"/>
  <c r="AG40" i="11"/>
  <c r="AH40" i="11"/>
  <c r="AI40" i="11"/>
  <c r="AJ40" i="11"/>
  <c r="AK40" i="11"/>
  <c r="AL40" i="11"/>
  <c r="AM40" i="11"/>
  <c r="AN40" i="11"/>
  <c r="AO40" i="11"/>
  <c r="AP40" i="11"/>
  <c r="AQ40" i="11"/>
  <c r="F40" i="6" s="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D41" i="6" s="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E41" i="6" s="1"/>
  <c r="AE41" i="11"/>
  <c r="AF41" i="11"/>
  <c r="AG41" i="11"/>
  <c r="AH41" i="11"/>
  <c r="AI41" i="11"/>
  <c r="AJ41" i="11"/>
  <c r="AK41" i="11"/>
  <c r="AL41" i="11"/>
  <c r="AM41" i="11"/>
  <c r="AN41" i="11"/>
  <c r="AO41" i="11"/>
  <c r="AP41" i="11"/>
  <c r="AQ41" i="11"/>
  <c r="F41" i="6" s="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D42" i="6" s="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E42" i="6" s="1"/>
  <c r="AE42" i="11"/>
  <c r="AF42" i="11"/>
  <c r="AG42" i="11"/>
  <c r="AH42" i="11"/>
  <c r="AI42" i="11"/>
  <c r="AJ42" i="11"/>
  <c r="AK42" i="11"/>
  <c r="AL42" i="11"/>
  <c r="AM42" i="11"/>
  <c r="AN42" i="11"/>
  <c r="AO42" i="11"/>
  <c r="AP42" i="11"/>
  <c r="AQ42" i="11"/>
  <c r="F42" i="6" s="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O6" i="6" s="1"/>
  <c r="AB6" i="11"/>
  <c r="AC6" i="11"/>
  <c r="AD6" i="11"/>
  <c r="AE6" i="11"/>
  <c r="AF6" i="11"/>
  <c r="AG6" i="11"/>
  <c r="AH6" i="11"/>
  <c r="AI6" i="11"/>
  <c r="AJ6" i="11"/>
  <c r="AK6" i="11"/>
  <c r="AL6" i="11"/>
  <c r="AM6" i="11"/>
  <c r="AN6" i="11"/>
  <c r="P6" i="6" s="1"/>
  <c r="AO6" i="11"/>
  <c r="AP6" i="11"/>
  <c r="AQ6" i="11"/>
  <c r="AR6" i="11"/>
  <c r="AS6" i="11"/>
  <c r="AT6" i="11"/>
  <c r="AU6" i="11"/>
  <c r="AV6" i="11"/>
  <c r="AW6" i="11"/>
  <c r="AX6" i="11"/>
  <c r="AY6" i="11"/>
  <c r="AZ6" i="11"/>
  <c r="BA6" i="11"/>
  <c r="Q6" i="6" s="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O7" i="6" s="1"/>
  <c r="AB7" i="11"/>
  <c r="AC7" i="11"/>
  <c r="AD7" i="11"/>
  <c r="AE7" i="11"/>
  <c r="AF7" i="11"/>
  <c r="AG7" i="11"/>
  <c r="AH7" i="11"/>
  <c r="AI7" i="11"/>
  <c r="AJ7" i="11"/>
  <c r="AK7" i="11"/>
  <c r="AL7" i="11"/>
  <c r="AM7" i="11"/>
  <c r="AN7" i="11"/>
  <c r="P7" i="6" s="1"/>
  <c r="AO7" i="11"/>
  <c r="AP7" i="11"/>
  <c r="AQ7" i="11"/>
  <c r="AR7" i="11"/>
  <c r="AS7" i="11"/>
  <c r="AT7" i="11"/>
  <c r="AU7" i="11"/>
  <c r="AV7" i="11"/>
  <c r="AW7" i="11"/>
  <c r="AX7" i="11"/>
  <c r="AY7" i="11"/>
  <c r="AZ7" i="11"/>
  <c r="BA7" i="11"/>
  <c r="Q7" i="6" s="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O8" i="6" s="1"/>
  <c r="AB8" i="11"/>
  <c r="AC8" i="11"/>
  <c r="AD8" i="11"/>
  <c r="AE8" i="11"/>
  <c r="AF8" i="11"/>
  <c r="AG8" i="11"/>
  <c r="AH8" i="11"/>
  <c r="AI8" i="11"/>
  <c r="AJ8" i="11"/>
  <c r="AK8" i="11"/>
  <c r="AL8" i="11"/>
  <c r="AM8" i="11"/>
  <c r="AN8" i="11"/>
  <c r="P8" i="6" s="1"/>
  <c r="AO8" i="11"/>
  <c r="AP8" i="11"/>
  <c r="AQ8" i="11"/>
  <c r="AR8" i="11"/>
  <c r="AS8" i="11"/>
  <c r="AT8" i="11"/>
  <c r="AU8" i="11"/>
  <c r="AV8" i="11"/>
  <c r="AW8" i="11"/>
  <c r="AX8" i="11"/>
  <c r="AY8" i="11"/>
  <c r="AZ8" i="11"/>
  <c r="BA8" i="11"/>
  <c r="Q8" i="6" s="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O9" i="6" s="1"/>
  <c r="AB9" i="11"/>
  <c r="AC9" i="11"/>
  <c r="AD9" i="11"/>
  <c r="AE9" i="11"/>
  <c r="AF9" i="11"/>
  <c r="AG9" i="11"/>
  <c r="AH9" i="11"/>
  <c r="AI9" i="11"/>
  <c r="AJ9" i="11"/>
  <c r="AK9" i="11"/>
  <c r="AL9" i="11"/>
  <c r="AM9" i="11"/>
  <c r="AN9" i="11"/>
  <c r="P9" i="6" s="1"/>
  <c r="AO9" i="11"/>
  <c r="AP9" i="11"/>
  <c r="AQ9" i="11"/>
  <c r="AR9" i="11"/>
  <c r="AS9" i="11"/>
  <c r="AT9" i="11"/>
  <c r="AU9" i="11"/>
  <c r="AV9" i="11"/>
  <c r="AW9" i="11"/>
  <c r="AX9" i="11"/>
  <c r="AY9" i="11"/>
  <c r="AZ9" i="11"/>
  <c r="BA9" i="11"/>
  <c r="Q9" i="6" s="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O10" i="6" s="1"/>
  <c r="AB10" i="11"/>
  <c r="AC10" i="11"/>
  <c r="AD10" i="11"/>
  <c r="AE10" i="11"/>
  <c r="AF10" i="11"/>
  <c r="AG10" i="11"/>
  <c r="AH10" i="11"/>
  <c r="AI10" i="11"/>
  <c r="AJ10" i="11"/>
  <c r="AK10" i="11"/>
  <c r="AL10" i="11"/>
  <c r="AM10" i="11"/>
  <c r="AN10" i="11"/>
  <c r="P10" i="6" s="1"/>
  <c r="AO10" i="11"/>
  <c r="AP10" i="11"/>
  <c r="AQ10" i="11"/>
  <c r="AR10" i="11"/>
  <c r="AS10" i="11"/>
  <c r="AT10" i="11"/>
  <c r="AU10" i="11"/>
  <c r="AV10" i="11"/>
  <c r="AW10" i="11"/>
  <c r="AX10" i="11"/>
  <c r="AY10" i="11"/>
  <c r="AZ10" i="11"/>
  <c r="BA10" i="11"/>
  <c r="Q10" i="6" s="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O11" i="6" s="1"/>
  <c r="AB11" i="11"/>
  <c r="AC11" i="11"/>
  <c r="AD11" i="11"/>
  <c r="AE11" i="11"/>
  <c r="AF11" i="11"/>
  <c r="AG11" i="11"/>
  <c r="AH11" i="11"/>
  <c r="AI11" i="11"/>
  <c r="AJ11" i="11"/>
  <c r="AK11" i="11"/>
  <c r="AL11" i="11"/>
  <c r="AM11" i="11"/>
  <c r="AN11" i="11"/>
  <c r="P11" i="6" s="1"/>
  <c r="AO11" i="11"/>
  <c r="AP11" i="11"/>
  <c r="AQ11" i="11"/>
  <c r="AR11" i="11"/>
  <c r="AS11" i="11"/>
  <c r="AT11" i="11"/>
  <c r="AU11" i="11"/>
  <c r="AV11" i="11"/>
  <c r="AW11" i="11"/>
  <c r="AX11" i="11"/>
  <c r="AY11" i="11"/>
  <c r="AZ11" i="11"/>
  <c r="BA11" i="11"/>
  <c r="Q11" i="6" s="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O12" i="6" s="1"/>
  <c r="AB12" i="11"/>
  <c r="AC12" i="11"/>
  <c r="AD12" i="11"/>
  <c r="AE12" i="11"/>
  <c r="AF12" i="11"/>
  <c r="AG12" i="11"/>
  <c r="AH12" i="11"/>
  <c r="AI12" i="11"/>
  <c r="AJ12" i="11"/>
  <c r="AK12" i="11"/>
  <c r="AL12" i="11"/>
  <c r="AM12" i="11"/>
  <c r="AN12" i="11"/>
  <c r="P12" i="6" s="1"/>
  <c r="AO12" i="11"/>
  <c r="AP12" i="11"/>
  <c r="AQ12" i="11"/>
  <c r="AR12" i="11"/>
  <c r="AS12" i="11"/>
  <c r="AT12" i="11"/>
  <c r="AU12" i="11"/>
  <c r="AV12" i="11"/>
  <c r="AW12" i="11"/>
  <c r="AX12" i="11"/>
  <c r="AY12" i="11"/>
  <c r="AZ12" i="11"/>
  <c r="BA12" i="11"/>
  <c r="Q12" i="6" s="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O13" i="6" s="1"/>
  <c r="AB13" i="11"/>
  <c r="AC13" i="11"/>
  <c r="AD13" i="11"/>
  <c r="AE13" i="11"/>
  <c r="AF13" i="11"/>
  <c r="AG13" i="11"/>
  <c r="AH13" i="11"/>
  <c r="AI13" i="11"/>
  <c r="AJ13" i="11"/>
  <c r="AK13" i="11"/>
  <c r="AL13" i="11"/>
  <c r="AM13" i="11"/>
  <c r="AN13" i="11"/>
  <c r="P13" i="6" s="1"/>
  <c r="AO13" i="11"/>
  <c r="AP13" i="11"/>
  <c r="AQ13" i="11"/>
  <c r="AR13" i="11"/>
  <c r="AS13" i="11"/>
  <c r="AT13" i="11"/>
  <c r="AU13" i="11"/>
  <c r="AV13" i="11"/>
  <c r="AW13" i="11"/>
  <c r="AX13" i="11"/>
  <c r="AY13" i="11"/>
  <c r="AZ13" i="11"/>
  <c r="BA13" i="11"/>
  <c r="Q13" i="6" s="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O14" i="6" s="1"/>
  <c r="AB14" i="11"/>
  <c r="AC14" i="11"/>
  <c r="AD14" i="11"/>
  <c r="AE14" i="11"/>
  <c r="AF14" i="11"/>
  <c r="AG14" i="11"/>
  <c r="AH14" i="11"/>
  <c r="AI14" i="11"/>
  <c r="AJ14" i="11"/>
  <c r="AK14" i="11"/>
  <c r="AL14" i="11"/>
  <c r="AM14" i="11"/>
  <c r="AN14" i="11"/>
  <c r="P14" i="6" s="1"/>
  <c r="AO14" i="11"/>
  <c r="AP14" i="11"/>
  <c r="AQ14" i="11"/>
  <c r="AR14" i="11"/>
  <c r="AS14" i="11"/>
  <c r="AT14" i="11"/>
  <c r="AU14" i="11"/>
  <c r="AV14" i="11"/>
  <c r="AW14" i="11"/>
  <c r="AX14" i="11"/>
  <c r="AY14" i="11"/>
  <c r="AZ14" i="11"/>
  <c r="BA14" i="11"/>
  <c r="Q14" i="6" s="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O15" i="6" s="1"/>
  <c r="AB15" i="11"/>
  <c r="AC15" i="11"/>
  <c r="AD15" i="11"/>
  <c r="AE15" i="11"/>
  <c r="AF15" i="11"/>
  <c r="AG15" i="11"/>
  <c r="AH15" i="11"/>
  <c r="AI15" i="11"/>
  <c r="AJ15" i="11"/>
  <c r="AK15" i="11"/>
  <c r="AL15" i="11"/>
  <c r="AM15" i="11"/>
  <c r="AN15" i="11"/>
  <c r="P15" i="6" s="1"/>
  <c r="AO15" i="11"/>
  <c r="AP15" i="11"/>
  <c r="AQ15" i="11"/>
  <c r="AR15" i="11"/>
  <c r="AS15" i="11"/>
  <c r="AT15" i="11"/>
  <c r="AU15" i="11"/>
  <c r="AV15" i="11"/>
  <c r="AW15" i="11"/>
  <c r="AX15" i="11"/>
  <c r="AY15" i="11"/>
  <c r="AZ15" i="11"/>
  <c r="BA15" i="11"/>
  <c r="Q15" i="6" s="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O16" i="6" s="1"/>
  <c r="AB16" i="11"/>
  <c r="AC16" i="11"/>
  <c r="AD16" i="11"/>
  <c r="AE16" i="11"/>
  <c r="AF16" i="11"/>
  <c r="AG16" i="11"/>
  <c r="AH16" i="11"/>
  <c r="AI16" i="11"/>
  <c r="AJ16" i="11"/>
  <c r="AK16" i="11"/>
  <c r="AL16" i="11"/>
  <c r="AM16" i="11"/>
  <c r="AN16" i="11"/>
  <c r="P16" i="6" s="1"/>
  <c r="AO16" i="11"/>
  <c r="AP16" i="11"/>
  <c r="AQ16" i="11"/>
  <c r="AR16" i="11"/>
  <c r="AS16" i="11"/>
  <c r="AT16" i="11"/>
  <c r="AU16" i="11"/>
  <c r="AV16" i="11"/>
  <c r="AW16" i="11"/>
  <c r="AX16" i="11"/>
  <c r="AY16" i="11"/>
  <c r="AZ16" i="11"/>
  <c r="BA16" i="11"/>
  <c r="Q16" i="6" s="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O17" i="6" s="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AN17" i="11"/>
  <c r="P17" i="6" s="1"/>
  <c r="AO17" i="11"/>
  <c r="AP17" i="11"/>
  <c r="AQ17" i="11"/>
  <c r="AR17" i="11"/>
  <c r="AS17" i="11"/>
  <c r="AT17" i="11"/>
  <c r="AU17" i="11"/>
  <c r="AV17" i="11"/>
  <c r="AW17" i="11"/>
  <c r="AX17" i="11"/>
  <c r="AY17" i="11"/>
  <c r="AZ17" i="11"/>
  <c r="BA17" i="11"/>
  <c r="Q17" i="6" s="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O18" i="6" s="1"/>
  <c r="AB18" i="11"/>
  <c r="AC18" i="11"/>
  <c r="AD18" i="11"/>
  <c r="AE18" i="11"/>
  <c r="AF18" i="11"/>
  <c r="AG18" i="11"/>
  <c r="AH18" i="11"/>
  <c r="AI18" i="11"/>
  <c r="AJ18" i="11"/>
  <c r="AK18" i="11"/>
  <c r="AL18" i="11"/>
  <c r="AM18" i="11"/>
  <c r="AN18" i="11"/>
  <c r="P18" i="6" s="1"/>
  <c r="AO18" i="11"/>
  <c r="AP18" i="11"/>
  <c r="AQ18" i="11"/>
  <c r="AR18" i="11"/>
  <c r="AS18" i="11"/>
  <c r="AT18" i="11"/>
  <c r="AU18" i="11"/>
  <c r="AV18" i="11"/>
  <c r="AW18" i="11"/>
  <c r="AX18" i="11"/>
  <c r="AY18" i="11"/>
  <c r="AZ18" i="11"/>
  <c r="BA18" i="11"/>
  <c r="Q18" i="6" s="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O19" i="6" s="1"/>
  <c r="AB19" i="11"/>
  <c r="AC19" i="11"/>
  <c r="AD19" i="11"/>
  <c r="AE19" i="11"/>
  <c r="AF19" i="11"/>
  <c r="AG19" i="11"/>
  <c r="AH19" i="11"/>
  <c r="AI19" i="11"/>
  <c r="AJ19" i="11"/>
  <c r="AK19" i="11"/>
  <c r="AL19" i="11"/>
  <c r="AM19" i="11"/>
  <c r="AN19" i="11"/>
  <c r="P19" i="6" s="1"/>
  <c r="AO19" i="11"/>
  <c r="AP19" i="11"/>
  <c r="AQ19" i="11"/>
  <c r="AR19" i="11"/>
  <c r="AS19" i="11"/>
  <c r="AT19" i="11"/>
  <c r="AU19" i="11"/>
  <c r="AV19" i="11"/>
  <c r="AW19" i="11"/>
  <c r="AX19" i="11"/>
  <c r="AY19" i="11"/>
  <c r="AZ19" i="11"/>
  <c r="BA19" i="11"/>
  <c r="Q19" i="6" s="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O20" i="6" s="1"/>
  <c r="AB20" i="11"/>
  <c r="AC20" i="11"/>
  <c r="AD20" i="11"/>
  <c r="AE20" i="11"/>
  <c r="AF20" i="11"/>
  <c r="AG20" i="11"/>
  <c r="AH20" i="11"/>
  <c r="AI20" i="11"/>
  <c r="AJ20" i="11"/>
  <c r="AK20" i="11"/>
  <c r="AL20" i="11"/>
  <c r="AM20" i="11"/>
  <c r="AN20" i="11"/>
  <c r="P20" i="6" s="1"/>
  <c r="AO20" i="11"/>
  <c r="AP20" i="11"/>
  <c r="AQ20" i="11"/>
  <c r="AR20" i="11"/>
  <c r="AS20" i="11"/>
  <c r="AT20" i="11"/>
  <c r="AU20" i="11"/>
  <c r="AV20" i="11"/>
  <c r="AW20" i="11"/>
  <c r="AX20" i="11"/>
  <c r="AY20" i="11"/>
  <c r="AZ20" i="11"/>
  <c r="BA20" i="11"/>
  <c r="Q20" i="6" s="1"/>
  <c r="G9" i="7"/>
  <c r="H9" i="7" s="1"/>
  <c r="I9" i="7" s="1"/>
  <c r="G22" i="11"/>
  <c r="G22" i="6" s="1"/>
  <c r="N20" i="11"/>
  <c r="N20" i="6" s="1"/>
  <c r="M20" i="11"/>
  <c r="M20" i="6" s="1"/>
  <c r="L20" i="11"/>
  <c r="L20" i="6" s="1"/>
  <c r="K20" i="11"/>
  <c r="K20" i="6" s="1"/>
  <c r="J20" i="11"/>
  <c r="J20" i="6" s="1"/>
  <c r="I20" i="11"/>
  <c r="I20" i="6" s="1"/>
  <c r="N19" i="11"/>
  <c r="N19" i="6" s="1"/>
  <c r="M19" i="11"/>
  <c r="M19" i="6" s="1"/>
  <c r="L19" i="11"/>
  <c r="L19" i="6" s="1"/>
  <c r="K19" i="11"/>
  <c r="K19" i="6" s="1"/>
  <c r="J19" i="11"/>
  <c r="J19" i="6" s="1"/>
  <c r="I19" i="11"/>
  <c r="I19" i="6" s="1"/>
  <c r="N18" i="11"/>
  <c r="N18" i="6" s="1"/>
  <c r="M18" i="11"/>
  <c r="M18" i="6" s="1"/>
  <c r="L18" i="11"/>
  <c r="L18" i="6" s="1"/>
  <c r="K18" i="11"/>
  <c r="K18" i="6" s="1"/>
  <c r="J18" i="11"/>
  <c r="J18" i="6" s="1"/>
  <c r="I18" i="11"/>
  <c r="I18" i="6" s="1"/>
  <c r="N17" i="11"/>
  <c r="N17" i="6" s="1"/>
  <c r="M17" i="11"/>
  <c r="M17" i="6" s="1"/>
  <c r="L17" i="11"/>
  <c r="L17" i="6" s="1"/>
  <c r="K17" i="11"/>
  <c r="K17" i="6" s="1"/>
  <c r="J17" i="11"/>
  <c r="J17" i="6" s="1"/>
  <c r="I17" i="11"/>
  <c r="I17" i="6" s="1"/>
  <c r="N16" i="11"/>
  <c r="N16" i="6" s="1"/>
  <c r="M16" i="11"/>
  <c r="M16" i="6" s="1"/>
  <c r="L16" i="11"/>
  <c r="L16" i="6" s="1"/>
  <c r="K16" i="11"/>
  <c r="K16" i="6" s="1"/>
  <c r="J16" i="11"/>
  <c r="J16" i="6" s="1"/>
  <c r="I16" i="11"/>
  <c r="I16" i="6" s="1"/>
  <c r="N15" i="11"/>
  <c r="N15" i="6" s="1"/>
  <c r="M15" i="11"/>
  <c r="M15" i="6" s="1"/>
  <c r="L15" i="11"/>
  <c r="L15" i="6" s="1"/>
  <c r="K15" i="11"/>
  <c r="K15" i="6" s="1"/>
  <c r="J15" i="11"/>
  <c r="J15" i="6" s="1"/>
  <c r="I15" i="11"/>
  <c r="I15" i="6" s="1"/>
  <c r="N14" i="11"/>
  <c r="N14" i="6" s="1"/>
  <c r="M14" i="11"/>
  <c r="M14" i="6" s="1"/>
  <c r="L14" i="11"/>
  <c r="L14" i="6" s="1"/>
  <c r="K14" i="11"/>
  <c r="K14" i="6" s="1"/>
  <c r="J14" i="11"/>
  <c r="J14" i="6" s="1"/>
  <c r="I14" i="11"/>
  <c r="I14" i="6" s="1"/>
  <c r="N13" i="11"/>
  <c r="N13" i="6" s="1"/>
  <c r="M13" i="11"/>
  <c r="M13" i="6" s="1"/>
  <c r="L13" i="11"/>
  <c r="L13" i="6" s="1"/>
  <c r="K13" i="11"/>
  <c r="K13" i="6" s="1"/>
  <c r="J13" i="11"/>
  <c r="J13" i="6" s="1"/>
  <c r="I13" i="11"/>
  <c r="I13" i="6" s="1"/>
  <c r="N12" i="11"/>
  <c r="N12" i="6" s="1"/>
  <c r="M12" i="11"/>
  <c r="M12" i="6" s="1"/>
  <c r="L12" i="11"/>
  <c r="L12" i="6" s="1"/>
  <c r="K12" i="11"/>
  <c r="K12" i="6" s="1"/>
  <c r="J12" i="11"/>
  <c r="J12" i="6" s="1"/>
  <c r="I12" i="11"/>
  <c r="I12" i="6" s="1"/>
  <c r="N11" i="11"/>
  <c r="N11" i="6" s="1"/>
  <c r="M11" i="11"/>
  <c r="M11" i="6" s="1"/>
  <c r="L11" i="11"/>
  <c r="L11" i="6" s="1"/>
  <c r="K11" i="11"/>
  <c r="K11" i="6" s="1"/>
  <c r="J11" i="11"/>
  <c r="J11" i="6" s="1"/>
  <c r="I11" i="11"/>
  <c r="I11" i="6" s="1"/>
  <c r="N10" i="11"/>
  <c r="N10" i="6" s="1"/>
  <c r="M10" i="11"/>
  <c r="M10" i="6" s="1"/>
  <c r="L10" i="11"/>
  <c r="L10" i="6" s="1"/>
  <c r="K10" i="11"/>
  <c r="K10" i="6" s="1"/>
  <c r="J10" i="11"/>
  <c r="J10" i="6" s="1"/>
  <c r="I10" i="11"/>
  <c r="I10" i="6" s="1"/>
  <c r="N9" i="11"/>
  <c r="N9" i="6" s="1"/>
  <c r="M9" i="11"/>
  <c r="M9" i="6" s="1"/>
  <c r="L9" i="11"/>
  <c r="L9" i="6" s="1"/>
  <c r="K9" i="11"/>
  <c r="K9" i="6" s="1"/>
  <c r="J9" i="11"/>
  <c r="J9" i="6" s="1"/>
  <c r="I9" i="11"/>
  <c r="I9" i="6" s="1"/>
  <c r="N8" i="11"/>
  <c r="N8" i="6" s="1"/>
  <c r="M8" i="11"/>
  <c r="M8" i="6" s="1"/>
  <c r="L8" i="11"/>
  <c r="L8" i="6" s="1"/>
  <c r="K8" i="11"/>
  <c r="K8" i="6" s="1"/>
  <c r="J8" i="11"/>
  <c r="J8" i="6" s="1"/>
  <c r="I8" i="11"/>
  <c r="I8" i="6" s="1"/>
  <c r="N7" i="11"/>
  <c r="N7" i="6" s="1"/>
  <c r="M7" i="11"/>
  <c r="M7" i="6" s="1"/>
  <c r="L7" i="11"/>
  <c r="L7" i="6" s="1"/>
  <c r="K7" i="11"/>
  <c r="K7" i="6" s="1"/>
  <c r="J7" i="11"/>
  <c r="J7" i="6" s="1"/>
  <c r="I7" i="11"/>
  <c r="I7" i="6" s="1"/>
  <c r="N6" i="11"/>
  <c r="N6" i="6" s="1"/>
  <c r="M6" i="11"/>
  <c r="M6" i="6" s="1"/>
  <c r="L6" i="11"/>
  <c r="L6" i="6" s="1"/>
  <c r="K6" i="11"/>
  <c r="K6" i="6" s="1"/>
  <c r="J6" i="11"/>
  <c r="J6" i="6" s="1"/>
  <c r="I6" i="11"/>
  <c r="I6" i="6" s="1"/>
  <c r="I5" i="11"/>
  <c r="I5" i="6" s="1"/>
  <c r="C50" i="5"/>
  <c r="C45" i="5"/>
  <c r="C74" i="5"/>
  <c r="C36" i="5" s="1"/>
  <c r="C73" i="5"/>
  <c r="C35" i="5" s="1"/>
  <c r="C72" i="5"/>
  <c r="C34" i="5" s="1"/>
  <c r="C71" i="5"/>
  <c r="C70" i="5"/>
  <c r="C32" i="5" s="1"/>
  <c r="C69" i="5"/>
  <c r="C31" i="5" s="1"/>
  <c r="C68" i="5"/>
  <c r="C30" i="5" s="1"/>
  <c r="C67" i="5"/>
  <c r="C29" i="5" s="1"/>
  <c r="C66" i="5"/>
  <c r="C28" i="5" s="1"/>
  <c r="C65" i="5"/>
  <c r="C27" i="5" s="1"/>
  <c r="C64" i="5"/>
  <c r="C63" i="5"/>
  <c r="C62" i="5"/>
  <c r="C61" i="5"/>
  <c r="C23" i="5" s="1"/>
  <c r="C60" i="5"/>
  <c r="C59" i="5"/>
  <c r="C58" i="5"/>
  <c r="C57" i="5"/>
  <c r="C56" i="5"/>
  <c r="C55" i="5"/>
  <c r="C17" i="5" s="1"/>
  <c r="C54" i="5"/>
  <c r="D43" i="5"/>
  <c r="C51" i="5"/>
  <c r="C49" i="5"/>
  <c r="C48" i="5"/>
  <c r="C47" i="5"/>
  <c r="C46" i="5"/>
  <c r="C44" i="5"/>
  <c r="C43" i="5"/>
  <c r="H10" i="8"/>
  <c r="D61" i="5" s="1"/>
  <c r="F10" i="8"/>
  <c r="H23" i="8"/>
  <c r="D74" i="5" s="1"/>
  <c r="F23" i="8"/>
  <c r="H22" i="8"/>
  <c r="D73" i="5" s="1"/>
  <c r="F22" i="8"/>
  <c r="H21" i="8"/>
  <c r="D72" i="5" s="1"/>
  <c r="F21" i="8"/>
  <c r="H19" i="8"/>
  <c r="D70" i="5" s="1"/>
  <c r="F19" i="8"/>
  <c r="H18" i="8"/>
  <c r="D69" i="5" s="1"/>
  <c r="F18" i="8"/>
  <c r="H17" i="8"/>
  <c r="D68" i="5" s="1"/>
  <c r="F17" i="8"/>
  <c r="H16" i="8"/>
  <c r="D67" i="5" s="1"/>
  <c r="F16" i="8"/>
  <c r="H15" i="8"/>
  <c r="D66" i="5" s="1"/>
  <c r="F15" i="8"/>
  <c r="H14" i="8"/>
  <c r="D65" i="5" s="1"/>
  <c r="F14" i="8"/>
  <c r="F4" i="8"/>
  <c r="F5" i="8"/>
  <c r="F6" i="8"/>
  <c r="F7" i="8"/>
  <c r="F8" i="8"/>
  <c r="F9" i="8"/>
  <c r="F11" i="8"/>
  <c r="F12" i="8"/>
  <c r="F13" i="8"/>
  <c r="F20" i="8"/>
  <c r="F24" i="8"/>
  <c r="F25" i="8"/>
  <c r="F3" i="8"/>
  <c r="H4" i="8"/>
  <c r="D55" i="5" s="1"/>
  <c r="Q28" i="11" l="1"/>
  <c r="D28" i="6" s="1"/>
  <c r="D44" i="6" s="1"/>
  <c r="U6" i="6" s="1"/>
  <c r="AD28" i="11"/>
  <c r="AQ28" i="11"/>
  <c r="E94" i="5"/>
  <c r="F94" i="5"/>
  <c r="AB44" i="11"/>
  <c r="L44" i="11"/>
  <c r="AP44" i="11"/>
  <c r="Z44" i="11"/>
  <c r="J44" i="11"/>
  <c r="AN44" i="11"/>
  <c r="X44" i="11"/>
  <c r="H44" i="11"/>
  <c r="AJ44" i="11"/>
  <c r="T44" i="11"/>
  <c r="AH44" i="11"/>
  <c r="R44" i="11"/>
  <c r="M44" i="11"/>
  <c r="AA44" i="11"/>
  <c r="Y44" i="11"/>
  <c r="W44" i="11"/>
  <c r="AC44" i="11"/>
  <c r="AO44" i="11"/>
  <c r="AG44" i="11"/>
  <c r="AE44" i="11"/>
  <c r="O44" i="11"/>
  <c r="U44" i="11"/>
  <c r="P44" i="11"/>
  <c r="N44" i="11"/>
  <c r="I44" i="11"/>
  <c r="G44" i="11"/>
  <c r="AK44" i="11"/>
  <c r="AI44" i="11"/>
  <c r="AF44" i="11"/>
  <c r="AL44" i="11"/>
  <c r="V44" i="11"/>
  <c r="F44" i="11"/>
  <c r="AM44" i="11"/>
  <c r="E44" i="11"/>
  <c r="S44" i="11"/>
  <c r="K44" i="11"/>
  <c r="D112" i="5"/>
  <c r="D36" i="5" s="1"/>
  <c r="H36" i="5" s="1"/>
  <c r="D97" i="5"/>
  <c r="D107" i="5"/>
  <c r="D31" i="5" s="1"/>
  <c r="D104" i="5"/>
  <c r="D28" i="5" s="1"/>
  <c r="H28" i="5" s="1"/>
  <c r="D98" i="5"/>
  <c r="D99" i="5"/>
  <c r="D23" i="5" s="1"/>
  <c r="H23" i="5" s="1"/>
  <c r="D100" i="5"/>
  <c r="D101" i="5"/>
  <c r="D102" i="5"/>
  <c r="D103" i="5"/>
  <c r="D27" i="5" s="1"/>
  <c r="G27" i="5" s="1"/>
  <c r="D83" i="5"/>
  <c r="D105" i="5"/>
  <c r="D29" i="5" s="1"/>
  <c r="G29" i="5" s="1"/>
  <c r="D88" i="5"/>
  <c r="D106" i="5"/>
  <c r="D30" i="5" s="1"/>
  <c r="G30" i="5" s="1"/>
  <c r="D89" i="5"/>
  <c r="D92" i="5"/>
  <c r="D109" i="5"/>
  <c r="D94" i="5"/>
  <c r="D95" i="5"/>
  <c r="D111" i="5"/>
  <c r="D35" i="5" s="1"/>
  <c r="G35" i="5" s="1"/>
  <c r="D108" i="5"/>
  <c r="D32" i="5" s="1"/>
  <c r="H32" i="5" s="1"/>
  <c r="D110" i="5"/>
  <c r="D34" i="5" s="1"/>
  <c r="H34" i="5" s="1"/>
  <c r="D96" i="5"/>
  <c r="J16" i="8"/>
  <c r="J15" i="8"/>
  <c r="J14" i="8"/>
  <c r="J10" i="8"/>
  <c r="J23" i="8"/>
  <c r="J22" i="8"/>
  <c r="J21" i="8"/>
  <c r="J4" i="8"/>
  <c r="J19" i="8"/>
  <c r="J18" i="8"/>
  <c r="J17" i="8"/>
  <c r="I22" i="11"/>
  <c r="I22" i="6" s="1"/>
  <c r="G69" i="5"/>
  <c r="C75" i="5"/>
  <c r="G55" i="5"/>
  <c r="G61" i="5"/>
  <c r="G66" i="5"/>
  <c r="G70" i="5"/>
  <c r="G74" i="5"/>
  <c r="G65" i="5"/>
  <c r="H65" i="5"/>
  <c r="G73" i="5"/>
  <c r="H73" i="5"/>
  <c r="G72" i="5"/>
  <c r="H70" i="5"/>
  <c r="H72" i="5"/>
  <c r="H55" i="5"/>
  <c r="H69" i="5"/>
  <c r="H61" i="5"/>
  <c r="H68" i="5"/>
  <c r="G68" i="5"/>
  <c r="H67" i="5"/>
  <c r="G67" i="5"/>
  <c r="H74" i="5"/>
  <c r="H66" i="5"/>
  <c r="C13" i="5"/>
  <c r="E17" i="7"/>
  <c r="D17" i="7"/>
  <c r="F9" i="7"/>
  <c r="E10" i="7"/>
  <c r="D10" i="7"/>
  <c r="C18" i="5"/>
  <c r="C19" i="5"/>
  <c r="C20" i="5"/>
  <c r="C21" i="5"/>
  <c r="C22" i="5"/>
  <c r="C24" i="5"/>
  <c r="C25" i="5"/>
  <c r="C26" i="5"/>
  <c r="C33" i="5"/>
  <c r="C12" i="5"/>
  <c r="C11" i="5"/>
  <c r="C10" i="5"/>
  <c r="C9" i="5"/>
  <c r="C8" i="5"/>
  <c r="C7" i="5"/>
  <c r="C6" i="5"/>
  <c r="C5" i="5"/>
  <c r="D93" i="5" l="1"/>
  <c r="D17" i="5" s="1"/>
  <c r="G17" i="5" s="1"/>
  <c r="Q44" i="11"/>
  <c r="AQ44" i="11"/>
  <c r="F93" i="5"/>
  <c r="F113" i="5" s="1"/>
  <c r="E28" i="6"/>
  <c r="E44" i="6" s="1"/>
  <c r="V6" i="6" s="1"/>
  <c r="E93" i="5"/>
  <c r="E113" i="5" s="1"/>
  <c r="AD44" i="11"/>
  <c r="F28" i="6"/>
  <c r="F44" i="6" s="1"/>
  <c r="W6" i="6" s="1"/>
  <c r="L17" i="8"/>
  <c r="F68" i="5" s="1"/>
  <c r="F30" i="5" s="1"/>
  <c r="E68" i="5"/>
  <c r="E30" i="5" s="1"/>
  <c r="L18" i="8"/>
  <c r="F69" i="5" s="1"/>
  <c r="F31" i="5" s="1"/>
  <c r="E69" i="5"/>
  <c r="E31" i="5" s="1"/>
  <c r="L19" i="8"/>
  <c r="F70" i="5" s="1"/>
  <c r="F32" i="5" s="1"/>
  <c r="E70" i="5"/>
  <c r="E32" i="5" s="1"/>
  <c r="L4" i="8"/>
  <c r="F55" i="5" s="1"/>
  <c r="E55" i="5"/>
  <c r="L23" i="8"/>
  <c r="F74" i="5" s="1"/>
  <c r="F36" i="5" s="1"/>
  <c r="E74" i="5"/>
  <c r="E36" i="5" s="1"/>
  <c r="L21" i="8"/>
  <c r="F72" i="5" s="1"/>
  <c r="F34" i="5" s="1"/>
  <c r="E72" i="5"/>
  <c r="E34" i="5" s="1"/>
  <c r="L10" i="8"/>
  <c r="F61" i="5" s="1"/>
  <c r="F23" i="5" s="1"/>
  <c r="E61" i="5"/>
  <c r="E23" i="5" s="1"/>
  <c r="L22" i="8"/>
  <c r="F73" i="5" s="1"/>
  <c r="F35" i="5" s="1"/>
  <c r="E73" i="5"/>
  <c r="E35" i="5" s="1"/>
  <c r="L14" i="8"/>
  <c r="F65" i="5" s="1"/>
  <c r="F27" i="5" s="1"/>
  <c r="E65" i="5"/>
  <c r="E27" i="5" s="1"/>
  <c r="L15" i="8"/>
  <c r="F66" i="5" s="1"/>
  <c r="F28" i="5" s="1"/>
  <c r="E66" i="5"/>
  <c r="E28" i="5" s="1"/>
  <c r="L16" i="8"/>
  <c r="F67" i="5" s="1"/>
  <c r="F29" i="5" s="1"/>
  <c r="E67" i="5"/>
  <c r="E29" i="5" s="1"/>
  <c r="G23" i="5"/>
  <c r="G34" i="5"/>
  <c r="G32" i="5"/>
  <c r="H35" i="5"/>
  <c r="H27" i="5"/>
  <c r="H30" i="5"/>
  <c r="G17" i="7"/>
  <c r="D51" i="5"/>
  <c r="H51" i="5" s="1"/>
  <c r="H29" i="5"/>
  <c r="G28" i="5"/>
  <c r="G36" i="5"/>
  <c r="G31" i="5"/>
  <c r="H31" i="5"/>
  <c r="C14" i="5"/>
  <c r="C52" i="5"/>
  <c r="C16" i="5"/>
  <c r="H43" i="5"/>
  <c r="G43" i="5"/>
  <c r="C37" i="5" l="1"/>
  <c r="C39" i="5" s="1"/>
  <c r="D113" i="5"/>
  <c r="H17" i="5"/>
  <c r="E17" i="5"/>
  <c r="F17" i="5"/>
  <c r="F51" i="5"/>
  <c r="F13" i="5" s="1"/>
  <c r="E51" i="5"/>
  <c r="E13" i="5" s="1"/>
  <c r="D13" i="5"/>
  <c r="G51" i="5"/>
  <c r="C77" i="5"/>
  <c r="H3" i="8"/>
  <c r="H5" i="8"/>
  <c r="J5" i="8" s="1"/>
  <c r="H6" i="8"/>
  <c r="J6" i="8" s="1"/>
  <c r="H7" i="8"/>
  <c r="J7" i="8" s="1"/>
  <c r="H8" i="8"/>
  <c r="J8" i="8" s="1"/>
  <c r="H9" i="8"/>
  <c r="J9" i="8" s="1"/>
  <c r="H11" i="8"/>
  <c r="J11" i="8" s="1"/>
  <c r="H12" i="8"/>
  <c r="J12" i="8" s="1"/>
  <c r="H13" i="8"/>
  <c r="J13" i="8" s="1"/>
  <c r="H20" i="8"/>
  <c r="J20" i="8" s="1"/>
  <c r="H24" i="8"/>
  <c r="H25" i="8"/>
  <c r="D26" i="8"/>
  <c r="E26" i="8"/>
  <c r="F3" i="7"/>
  <c r="E43" i="5" s="1"/>
  <c r="F4" i="7"/>
  <c r="F5" i="7"/>
  <c r="F6" i="7"/>
  <c r="F7" i="7"/>
  <c r="F8" i="7"/>
  <c r="D12" i="7"/>
  <c r="E12" i="7"/>
  <c r="J5" i="11" s="1"/>
  <c r="D13" i="7"/>
  <c r="E13" i="7"/>
  <c r="K5" i="11" s="1"/>
  <c r="D14" i="7"/>
  <c r="E14" i="7"/>
  <c r="G6" i="7" s="1"/>
  <c r="H6" i="7" s="1"/>
  <c r="I6" i="7" s="1"/>
  <c r="D15" i="7"/>
  <c r="E15" i="7"/>
  <c r="L5" i="11" s="1"/>
  <c r="D16" i="7"/>
  <c r="E16" i="7"/>
  <c r="M5" i="11" s="1"/>
  <c r="J5" i="6" l="1"/>
  <c r="J22" i="11"/>
  <c r="J22" i="6" s="1"/>
  <c r="N5" i="11"/>
  <c r="K5" i="6"/>
  <c r="K22" i="11"/>
  <c r="K22" i="6" s="1"/>
  <c r="M5" i="6"/>
  <c r="M22" i="11"/>
  <c r="M22" i="6" s="1"/>
  <c r="L5" i="6"/>
  <c r="L22" i="11"/>
  <c r="L22" i="6" s="1"/>
  <c r="L12" i="8"/>
  <c r="F63" i="5" s="1"/>
  <c r="F25" i="5" s="1"/>
  <c r="E63" i="5"/>
  <c r="E25" i="5" s="1"/>
  <c r="L20" i="8"/>
  <c r="F71" i="5" s="1"/>
  <c r="F33" i="5" s="1"/>
  <c r="E71" i="5"/>
  <c r="E33" i="5" s="1"/>
  <c r="L13" i="8"/>
  <c r="F64" i="5" s="1"/>
  <c r="F26" i="5" s="1"/>
  <c r="E64" i="5"/>
  <c r="E26" i="5" s="1"/>
  <c r="L11" i="8"/>
  <c r="F62" i="5" s="1"/>
  <c r="F24" i="5" s="1"/>
  <c r="E62" i="5"/>
  <c r="E24" i="5" s="1"/>
  <c r="L9" i="8"/>
  <c r="F60" i="5" s="1"/>
  <c r="F22" i="5" s="1"/>
  <c r="E60" i="5"/>
  <c r="E22" i="5" s="1"/>
  <c r="L8" i="8"/>
  <c r="F59" i="5" s="1"/>
  <c r="F21" i="5" s="1"/>
  <c r="E59" i="5"/>
  <c r="E21" i="5" s="1"/>
  <c r="L7" i="8"/>
  <c r="F58" i="5" s="1"/>
  <c r="F20" i="5" s="1"/>
  <c r="E58" i="5"/>
  <c r="E20" i="5" s="1"/>
  <c r="L6" i="8"/>
  <c r="F57" i="5" s="1"/>
  <c r="F19" i="5" s="1"/>
  <c r="E57" i="5"/>
  <c r="E19" i="5" s="1"/>
  <c r="L5" i="8"/>
  <c r="F56" i="5" s="1"/>
  <c r="F18" i="5" s="1"/>
  <c r="E56" i="5"/>
  <c r="E18" i="5" s="1"/>
  <c r="D45" i="5"/>
  <c r="D7" i="5" s="1"/>
  <c r="G7" i="5" s="1"/>
  <c r="J24" i="8"/>
  <c r="D50" i="5"/>
  <c r="D12" i="5" s="1"/>
  <c r="H12" i="5" s="1"/>
  <c r="J25" i="8"/>
  <c r="D54" i="5"/>
  <c r="D16" i="5" s="1"/>
  <c r="J3" i="8"/>
  <c r="E54" i="5" s="1"/>
  <c r="F43" i="5"/>
  <c r="H17" i="7"/>
  <c r="D56" i="5"/>
  <c r="D63" i="5"/>
  <c r="D62" i="5"/>
  <c r="D24" i="5" s="1"/>
  <c r="G14" i="7"/>
  <c r="D44" i="5"/>
  <c r="D71" i="5"/>
  <c r="D60" i="5"/>
  <c r="D64" i="5"/>
  <c r="D59" i="5"/>
  <c r="D58" i="5"/>
  <c r="D57" i="5"/>
  <c r="G13" i="5"/>
  <c r="H13" i="5"/>
  <c r="G7" i="7"/>
  <c r="H7" i="7" s="1"/>
  <c r="I7" i="7" s="1"/>
  <c r="G5" i="7"/>
  <c r="H5" i="7" s="1"/>
  <c r="I5" i="7" s="1"/>
  <c r="G4" i="7"/>
  <c r="H4" i="7" s="1"/>
  <c r="I4" i="7" s="1"/>
  <c r="G8" i="7"/>
  <c r="H8" i="7" s="1"/>
  <c r="I8" i="7" s="1"/>
  <c r="F26" i="8"/>
  <c r="H26" i="8"/>
  <c r="G26" i="8" s="1"/>
  <c r="N5" i="6" l="1"/>
  <c r="AV5" i="11"/>
  <c r="AV22" i="11" s="1"/>
  <c r="AR5" i="11"/>
  <c r="AR22" i="11" s="1"/>
  <c r="AK5" i="11"/>
  <c r="AK22" i="11" s="1"/>
  <c r="AL5" i="11"/>
  <c r="AL22" i="11" s="1"/>
  <c r="AM5" i="11"/>
  <c r="AM22" i="11" s="1"/>
  <c r="AC5" i="11"/>
  <c r="AC22" i="11" s="1"/>
  <c r="S5" i="11"/>
  <c r="S22" i="11" s="1"/>
  <c r="AT5" i="11"/>
  <c r="AT22" i="11" s="1"/>
  <c r="AO5" i="11"/>
  <c r="AF5" i="11"/>
  <c r="AF22" i="11" s="1"/>
  <c r="AJ5" i="11"/>
  <c r="AJ22" i="11" s="1"/>
  <c r="AS5" i="11"/>
  <c r="AS22" i="11" s="1"/>
  <c r="Q5" i="11"/>
  <c r="Q22" i="11" s="1"/>
  <c r="AG5" i="11"/>
  <c r="AG22" i="11" s="1"/>
  <c r="AW5" i="11"/>
  <c r="AW22" i="11" s="1"/>
  <c r="AZ5" i="11"/>
  <c r="AZ22" i="11" s="1"/>
  <c r="AE5" i="11"/>
  <c r="AE22" i="11" s="1"/>
  <c r="T5" i="11"/>
  <c r="T22" i="11" s="1"/>
  <c r="U5" i="11"/>
  <c r="U22" i="11" s="1"/>
  <c r="V5" i="11"/>
  <c r="V22" i="11" s="1"/>
  <c r="AX5" i="11"/>
  <c r="AX22" i="11" s="1"/>
  <c r="AU5" i="11"/>
  <c r="AU22" i="11" s="1"/>
  <c r="AQ5" i="11"/>
  <c r="AQ22" i="11" s="1"/>
  <c r="AI5" i="11"/>
  <c r="AI22" i="11" s="1"/>
  <c r="W5" i="11"/>
  <c r="W22" i="11" s="1"/>
  <c r="Y5" i="11"/>
  <c r="Y22" i="11" s="1"/>
  <c r="AD5" i="11"/>
  <c r="AD22" i="11" s="1"/>
  <c r="R5" i="11"/>
  <c r="R22" i="11" s="1"/>
  <c r="Z5" i="11"/>
  <c r="Z22" i="11" s="1"/>
  <c r="X5" i="11"/>
  <c r="X22" i="11" s="1"/>
  <c r="O5" i="11"/>
  <c r="AH5" i="11"/>
  <c r="AH22" i="11" s="1"/>
  <c r="AB5" i="11"/>
  <c r="AY5" i="11"/>
  <c r="AY22" i="11" s="1"/>
  <c r="P5" i="11"/>
  <c r="P22" i="11" s="1"/>
  <c r="AP5" i="11"/>
  <c r="AP22" i="11" s="1"/>
  <c r="N22" i="11"/>
  <c r="N22" i="6" s="1"/>
  <c r="H13" i="7"/>
  <c r="E47" i="5"/>
  <c r="H16" i="7"/>
  <c r="E49" i="5"/>
  <c r="H12" i="7"/>
  <c r="E46" i="5"/>
  <c r="E16" i="5"/>
  <c r="E37" i="5" s="1"/>
  <c r="E75" i="5"/>
  <c r="L25" i="8"/>
  <c r="F50" i="5" s="1"/>
  <c r="F12" i="5" s="1"/>
  <c r="E50" i="5"/>
  <c r="E12" i="5" s="1"/>
  <c r="H14" i="7"/>
  <c r="E44" i="5"/>
  <c r="H15" i="7"/>
  <c r="E48" i="5"/>
  <c r="L24" i="8"/>
  <c r="F45" i="5" s="1"/>
  <c r="F7" i="5" s="1"/>
  <c r="E45" i="5"/>
  <c r="E7" i="5" s="1"/>
  <c r="G45" i="5"/>
  <c r="G12" i="5"/>
  <c r="H45" i="5"/>
  <c r="H54" i="5"/>
  <c r="H7" i="5"/>
  <c r="H10" i="7"/>
  <c r="G50" i="5"/>
  <c r="H50" i="5"/>
  <c r="L3" i="8"/>
  <c r="J26" i="8"/>
  <c r="I26" i="8" s="1"/>
  <c r="G54" i="5"/>
  <c r="I17" i="7"/>
  <c r="D75" i="5"/>
  <c r="H75" i="5" s="1"/>
  <c r="D46" i="5"/>
  <c r="G10" i="7"/>
  <c r="G24" i="5"/>
  <c r="H24" i="5"/>
  <c r="G64" i="5"/>
  <c r="H64" i="5"/>
  <c r="G16" i="7"/>
  <c r="D49" i="5"/>
  <c r="G71" i="5"/>
  <c r="H71" i="5"/>
  <c r="D26" i="5"/>
  <c r="D33" i="5"/>
  <c r="G15" i="7"/>
  <c r="D48" i="5"/>
  <c r="G63" i="5"/>
  <c r="H63" i="5"/>
  <c r="G13" i="7"/>
  <c r="F47" i="5" s="1"/>
  <c r="D47" i="5"/>
  <c r="G62" i="5"/>
  <c r="H62" i="5"/>
  <c r="H58" i="5"/>
  <c r="G58" i="5"/>
  <c r="G56" i="5"/>
  <c r="H56" i="5"/>
  <c r="G60" i="5"/>
  <c r="H60" i="5"/>
  <c r="D22" i="5"/>
  <c r="G57" i="5"/>
  <c r="H57" i="5"/>
  <c r="D19" i="5"/>
  <c r="D25" i="5"/>
  <c r="D20" i="5"/>
  <c r="G59" i="5"/>
  <c r="H59" i="5"/>
  <c r="D21" i="5"/>
  <c r="D18" i="5"/>
  <c r="G16" i="5"/>
  <c r="H16" i="5"/>
  <c r="H44" i="5"/>
  <c r="G44" i="5"/>
  <c r="G12" i="7"/>
  <c r="AO22" i="11" l="1"/>
  <c r="BA5" i="11"/>
  <c r="AB22" i="11"/>
  <c r="AN5" i="11"/>
  <c r="O22" i="11"/>
  <c r="AA5" i="11"/>
  <c r="I12" i="7"/>
  <c r="F46" i="5"/>
  <c r="I15" i="7"/>
  <c r="F48" i="5"/>
  <c r="E52" i="5"/>
  <c r="L26" i="8"/>
  <c r="K26" i="8" s="1"/>
  <c r="F54" i="5"/>
  <c r="I14" i="7"/>
  <c r="F44" i="5"/>
  <c r="I16" i="7"/>
  <c r="F49" i="5"/>
  <c r="I13" i="7"/>
  <c r="I10" i="7"/>
  <c r="G75" i="5"/>
  <c r="D37" i="5"/>
  <c r="H37" i="5" s="1"/>
  <c r="G20" i="5"/>
  <c r="H20" i="5"/>
  <c r="H26" i="5"/>
  <c r="G26" i="5"/>
  <c r="H25" i="5"/>
  <c r="G25" i="5"/>
  <c r="H19" i="5"/>
  <c r="G19" i="5"/>
  <c r="H33" i="5"/>
  <c r="G33" i="5"/>
  <c r="H22" i="5"/>
  <c r="G22" i="5"/>
  <c r="G18" i="5"/>
  <c r="H18" i="5"/>
  <c r="G21" i="5"/>
  <c r="H21" i="5"/>
  <c r="D52" i="5"/>
  <c r="H49" i="5"/>
  <c r="H47" i="5"/>
  <c r="H46" i="5"/>
  <c r="H48" i="5"/>
  <c r="G47" i="5"/>
  <c r="G49" i="5"/>
  <c r="G46" i="5"/>
  <c r="G48" i="5"/>
  <c r="O5" i="6" l="1"/>
  <c r="AA22" i="11"/>
  <c r="O22" i="6" s="1"/>
  <c r="U5" i="6" s="1"/>
  <c r="U7" i="6" s="1"/>
  <c r="P5" i="6"/>
  <c r="AN22" i="11"/>
  <c r="P22" i="6" s="1"/>
  <c r="V5" i="6" s="1"/>
  <c r="V7" i="6" s="1"/>
  <c r="Q5" i="6"/>
  <c r="BA22" i="11"/>
  <c r="Q22" i="6" s="1"/>
  <c r="W5" i="6" s="1"/>
  <c r="W7" i="6" s="1"/>
  <c r="E77" i="5"/>
  <c r="F75" i="5"/>
  <c r="F16" i="5"/>
  <c r="F52" i="5"/>
  <c r="G37" i="5"/>
  <c r="G52" i="5"/>
  <c r="G77" i="5" s="1"/>
  <c r="H52" i="5"/>
  <c r="D77" i="5"/>
  <c r="H77" i="5" s="1"/>
  <c r="F37" i="5" l="1"/>
  <c r="D82" i="5" a="1"/>
  <c r="D82" i="5" s="1"/>
  <c r="D6" i="5" s="1"/>
  <c r="D84" i="5" a="1"/>
  <c r="D84" i="5" s="1"/>
  <c r="D8" i="5" s="1"/>
  <c r="D81" i="5" a="1"/>
  <c r="D81" i="5" s="1"/>
  <c r="D5" i="5" s="1"/>
  <c r="D85" i="5" a="1"/>
  <c r="D85" i="5" s="1"/>
  <c r="D9" i="5" s="1"/>
  <c r="D86" i="5" a="1"/>
  <c r="D86" i="5" s="1"/>
  <c r="D10" i="5" s="1"/>
  <c r="D87" i="5" a="1"/>
  <c r="D87" i="5" s="1"/>
  <c r="D11" i="5" s="1"/>
  <c r="F81" i="5" a="1"/>
  <c r="F81" i="5" s="1"/>
  <c r="F82" i="5" a="1"/>
  <c r="F82" i="5" s="1"/>
  <c r="F6" i="5" s="1"/>
  <c r="F84" i="5" a="1"/>
  <c r="F84" i="5" s="1"/>
  <c r="F8" i="5" s="1"/>
  <c r="F86" i="5" a="1"/>
  <c r="F86" i="5" s="1"/>
  <c r="F10" i="5" s="1"/>
  <c r="F87" i="5" a="1"/>
  <c r="F87" i="5" s="1"/>
  <c r="F11" i="5" s="1"/>
  <c r="F85" i="5" a="1"/>
  <c r="F85" i="5" s="1"/>
  <c r="F9" i="5" s="1"/>
  <c r="E81" i="5" a="1"/>
  <c r="E81" i="5" s="1"/>
  <c r="E82" i="5" a="1"/>
  <c r="E82" i="5" s="1"/>
  <c r="E6" i="5" s="1"/>
  <c r="E86" i="5" a="1"/>
  <c r="E86" i="5" s="1"/>
  <c r="E10" i="5" s="1"/>
  <c r="E87" i="5" a="1"/>
  <c r="E87" i="5" s="1"/>
  <c r="E11" i="5" s="1"/>
  <c r="E84" i="5" a="1"/>
  <c r="E84" i="5" s="1"/>
  <c r="E8" i="5" s="1"/>
  <c r="E85" i="5" a="1"/>
  <c r="E85" i="5" s="1"/>
  <c r="E9" i="5" s="1"/>
  <c r="F77" i="5"/>
  <c r="F90" i="5" l="1"/>
  <c r="F5" i="5"/>
  <c r="F14" i="5" s="1"/>
  <c r="F39" i="5" s="1"/>
  <c r="H11" i="5"/>
  <c r="G11" i="5"/>
  <c r="E5" i="5"/>
  <c r="E14" i="5" s="1"/>
  <c r="E39" i="5" s="1"/>
  <c r="E90" i="5"/>
  <c r="H9" i="5"/>
  <c r="G9" i="5"/>
  <c r="D90" i="5"/>
  <c r="G5" i="5"/>
  <c r="H5" i="5"/>
  <c r="G8" i="5"/>
  <c r="H8" i="5"/>
  <c r="G6" i="5"/>
  <c r="H6" i="5"/>
  <c r="G10" i="5"/>
  <c r="H10" i="5"/>
  <c r="D14" i="5"/>
  <c r="D115" i="5" l="1"/>
  <c r="E115" i="5"/>
  <c r="G14" i="5"/>
  <c r="G39" i="5" s="1"/>
  <c r="F115" i="5"/>
  <c r="D39" i="5"/>
  <c r="H14" i="5"/>
  <c r="H39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<sst xmlns="http://schemas.openxmlformats.org/spreadsheetml/2006/main" count="399" uniqueCount="164">
  <si>
    <t>CC_CL</t>
  </si>
  <si>
    <t>Account</t>
  </si>
  <si>
    <t/>
  </si>
  <si>
    <t xml:space="preserve">  Essentials Operations</t>
  </si>
  <si>
    <t xml:space="preserve">   GA_PROFESSIONAL_FEES - Professional Fees</t>
  </si>
  <si>
    <t xml:space="preserve">   OFFICE_EXP - Office Expenses</t>
  </si>
  <si>
    <t xml:space="preserve">   IT_COSTS - IT Costs</t>
  </si>
  <si>
    <t xml:space="preserve">   MKTG_PRES - Marketing and Presentation</t>
  </si>
  <si>
    <t xml:space="preserve">   T&amp;E - Travel And Entertainment</t>
  </si>
  <si>
    <t xml:space="preserve">   EMPLOYEE_EVENTS - Employee events</t>
  </si>
  <si>
    <t xml:space="preserve">   LIC - Licenses</t>
  </si>
  <si>
    <t xml:space="preserve">   RECRUITING_RELOCATION - Recruiting And Relocation</t>
  </si>
  <si>
    <t xml:space="preserve">   SEM_TRG - Seminars And Training</t>
  </si>
  <si>
    <t xml:space="preserve">   OTH - Other</t>
  </si>
  <si>
    <t xml:space="preserve">    PYRL_BONUS - Essentials Bonus</t>
  </si>
  <si>
    <t xml:space="preserve">    CONTRACT - Contract Labor</t>
  </si>
  <si>
    <t>Actual</t>
  </si>
  <si>
    <t>2025</t>
  </si>
  <si>
    <t>04/2026 - Q126 Earnings FCST</t>
  </si>
  <si>
    <t>2026</t>
  </si>
  <si>
    <t>Growth Rate</t>
  </si>
  <si>
    <t>Growth Rate Override</t>
  </si>
  <si>
    <t>Model</t>
  </si>
  <si>
    <t xml:space="preserve">   COMP - Compensation</t>
  </si>
  <si>
    <t>2027</t>
  </si>
  <si>
    <t xml:space="preserve">   PAYROLL_TAX - Payroll tax</t>
  </si>
  <si>
    <t xml:space="preserve">   BEN - Benefits</t>
  </si>
  <si>
    <t xml:space="preserve">   BON - Bonus</t>
  </si>
  <si>
    <t xml:space="preserve">   VAC - Vacation</t>
  </si>
  <si>
    <t xml:space="preserve">   OTHER - Other</t>
  </si>
  <si>
    <t>Total Non-Payroll</t>
  </si>
  <si>
    <t>Non-Payroll</t>
  </si>
  <si>
    <t>Baseline Payroll</t>
  </si>
  <si>
    <t>Baseline Non-Payroll</t>
  </si>
  <si>
    <t>Incremental Payroll</t>
  </si>
  <si>
    <t>Total Payroll</t>
  </si>
  <si>
    <t>Incremental Non-Payroll</t>
  </si>
  <si>
    <t>2027 Incremental Spend</t>
  </si>
  <si>
    <t>Notes / Rationale</t>
  </si>
  <si>
    <t>Spend Type</t>
  </si>
  <si>
    <t>Total Incremental Spend</t>
  </si>
  <si>
    <t>Payroll / Headcount Incremental Spend</t>
  </si>
  <si>
    <t>Role / Hire</t>
  </si>
  <si>
    <t>Hire Date</t>
  </si>
  <si>
    <t>Base Salary</t>
  </si>
  <si>
    <t>Bonus %</t>
  </si>
  <si>
    <t>Total Payroll / Headcount Incremental Spend</t>
  </si>
  <si>
    <t>Payroll / Headcount</t>
  </si>
  <si>
    <t>Payroll Taxes</t>
  </si>
  <si>
    <t>Benefits</t>
  </si>
  <si>
    <t>Vacation</t>
  </si>
  <si>
    <t>Other</t>
  </si>
  <si>
    <t>Job Title</t>
  </si>
  <si>
    <t>Job Level</t>
  </si>
  <si>
    <t>Type of Expense</t>
  </si>
  <si>
    <t>Expense Description</t>
  </si>
  <si>
    <t>Vendor</t>
  </si>
  <si>
    <t>Bonus</t>
  </si>
  <si>
    <t>Essentials Bonus</t>
  </si>
  <si>
    <t>Contract Labor</t>
  </si>
  <si>
    <t>2027 vs. 2026 Variance</t>
  </si>
  <si>
    <t>2027 vs. 2026 Variance %</t>
  </si>
  <si>
    <t>Professional Fees</t>
  </si>
  <si>
    <t>Office Expenses</t>
  </si>
  <si>
    <t>IT Costs</t>
  </si>
  <si>
    <t>Marketing and Presentation</t>
  </si>
  <si>
    <t>Travel and Entertainment</t>
  </si>
  <si>
    <t>Employee events</t>
  </si>
  <si>
    <t>Licenses</t>
  </si>
  <si>
    <t>Recruiting and Relocation</t>
  </si>
  <si>
    <t>Seminars and Training</t>
  </si>
  <si>
    <t>Baseline</t>
  </si>
  <si>
    <t>Total</t>
  </si>
  <si>
    <t>Incremental</t>
  </si>
  <si>
    <t>2026 vs. 2025</t>
  </si>
  <si>
    <t xml:space="preserve">   LTIP_COMP - LTIP Compensation</t>
  </si>
  <si>
    <t>LTIP Compensation</t>
  </si>
  <si>
    <t>Essentials Bonus / Contract Labor / Non-Payroll Incremental Spend</t>
  </si>
  <si>
    <t>Total Essentials Bonus / Contract Labor / Non-Payroll Incremental Spend</t>
  </si>
  <si>
    <t>Location (City/Country)</t>
  </si>
  <si>
    <t>Key Job Responsibilities</t>
  </si>
  <si>
    <t>2027 Annualized Spend</t>
  </si>
  <si>
    <t>#</t>
  </si>
  <si>
    <t>Question</t>
  </si>
  <si>
    <t>Guidance / What to Address</t>
  </si>
  <si>
    <t>What strategic objective or growth opportunity does this investment enable?</t>
  </si>
  <si>
    <t>What business milestone should trigger this investment?</t>
  </si>
  <si>
    <t>What alternatives were considered?</t>
  </si>
  <si>
    <t>What measurable business outcome will this investment deliver?</t>
  </si>
  <si>
    <t>What is the impact if this investment is not approved?</t>
  </si>
  <si>
    <t>• What business objective, strategic initiative, or growth opportunity does this investment support?
• How does the investment align with priorities and outcomes in the 2027–2029 business plan?</t>
  </si>
  <si>
    <t>• Describe why the investment is needed now, or identify the business milestone that would warrant the investment in the future.
• Explain how the timing of the investment aligns with the expected growth of the business.</t>
  </si>
  <si>
    <t>• What alternatives were evaluated before requesting incremental spend, including process improvements, AI/automation, technology solutions, third-party providers, or redeployment of existing resources?
• Why is incremental headcount or G&amp;A the most effective solution?</t>
  </si>
  <si>
    <t>• What are the expected business outcomes and how will success be measured?
• Tie the request to measurable growth or scale, e.g., revenue, AUM, MW deployed, customers served, operating sites, projects delivered, cost savings, or risk reduction.</t>
  </si>
  <si>
    <t>• What is the expected business impact if the investment is deferred or not approved?
• What are the implications for growth, execution of strategic initiatives, customer commitments, operational performance, financial results, or risk management?</t>
  </si>
  <si>
    <t>Essentials Operations</t>
  </si>
  <si>
    <t>Occupancy</t>
  </si>
  <si>
    <t>Insurance Non Property</t>
  </si>
  <si>
    <t>Shareholder Relations</t>
  </si>
  <si>
    <t>Trustees and Director Fees</t>
  </si>
  <si>
    <t>Dues and Subscriptions</t>
  </si>
  <si>
    <t>Property Management Fee</t>
  </si>
  <si>
    <t>Maintenance</t>
  </si>
  <si>
    <t>Bank Service Charges</t>
  </si>
  <si>
    <t>Charitable Contributions</t>
  </si>
  <si>
    <t>Disputed Charges</t>
  </si>
  <si>
    <t>Allocated IT &amp; Office Contra</t>
  </si>
  <si>
    <t xml:space="preserve">   OCCUP - Occupancy</t>
  </si>
  <si>
    <t xml:space="preserve">   INS_NON_PRTY - Insurance Non Property</t>
  </si>
  <si>
    <t xml:space="preserve">   DUES_SUBSCRIPTIONS - Dues And Subscriptions</t>
  </si>
  <si>
    <t xml:space="preserve">   SHARE_REL - Shareholder Relations</t>
  </si>
  <si>
    <t xml:space="preserve">   TRUSTEE_DIR_FEES - Trustees And Director Fees</t>
  </si>
  <si>
    <t xml:space="preserve">   PROP_MGMT_FEE - Property management fee</t>
  </si>
  <si>
    <t xml:space="preserve">   MAINT - Maintenance</t>
  </si>
  <si>
    <t xml:space="preserve">   BANK_SVC_CHARGES - Bank service charges</t>
  </si>
  <si>
    <t xml:space="preserve">   CHARITABLE_CONTRIBUTIONS - Charitable Contributions</t>
  </si>
  <si>
    <t xml:space="preserve">   DISPUTED_CHARGES - Disputed Charges</t>
  </si>
  <si>
    <t xml:space="preserve">   ALLOCATED_IT_OFFICE_CONTRA - Allocated IT &amp; Office Contra</t>
  </si>
  <si>
    <t>Compensation</t>
  </si>
  <si>
    <t>2028 Incremental Spend</t>
  </si>
  <si>
    <t>2029 Incremental Spend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</si>
  <si>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</si>
  <si>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</si>
  <si>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</si>
  <si>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</si>
  <si>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</si>
  <si>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</si>
  <si>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</si>
  <si>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</si>
  <si>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</si>
  <si>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</si>
  <si>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</si>
  <si>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</si>
  <si>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Dec-28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</si>
  <si>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</si>
  <si>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</si>
  <si>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</si>
  <si>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</si>
  <si>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</si>
  <si>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</si>
  <si>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</si>
  <si>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</si>
  <si>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</si>
  <si>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Oct-28</t>
  </si>
  <si>
    <t>Nov-28</t>
  </si>
  <si>
    <t>Jan-29</t>
  </si>
  <si>
    <t>Feb-29</t>
  </si>
  <si>
    <t>Mar-29</t>
  </si>
  <si>
    <t>Apr-29</t>
  </si>
  <si>
    <t>May-29</t>
  </si>
  <si>
    <t>Jun-29</t>
  </si>
  <si>
    <t>Jul-29</t>
  </si>
  <si>
    <t>Aug-29</t>
  </si>
  <si>
    <t>Sep-29</t>
  </si>
  <si>
    <t>Oct-29</t>
  </si>
  <si>
    <t>Nov-29</t>
  </si>
  <si>
    <t>Dec-29</t>
  </si>
  <si>
    <t>Annualized Spend</t>
  </si>
  <si>
    <t>2028</t>
  </si>
  <si>
    <t>2029</t>
  </si>
  <si>
    <t>2027 From Current FCST excluding Merit</t>
  </si>
  <si>
    <t>Questions to Ask - Investment Case</t>
  </si>
  <si>
    <t>Investment Case Asks - Incremental Spend Input</t>
  </si>
  <si>
    <t>Incremental Spend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</si>
</sst>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[Red]_(* \(#,##0\);_(* &quot;-&quot;_);_(@_)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7F9F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D233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164" fontId="2" fillId="0" borderId="0" xfId="1" applyNumberFormat="1" applyFont="1"/>
    <xf numFmtId="9" fontId="2" fillId="0" borderId="0" xfId="2" applyFont="1"/>
    <xf numFmtId="0" fontId="2" fillId="0" borderId="0" xfId="0" applyFont="1" applyAlignment="1">
      <alignment horizontal="center"/>
    </xf>
    <xf numFmtId="0" fontId="6" fillId="6" borderId="0" xfId="0" applyFont="1" applyFill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164" fontId="6" fillId="6" borderId="0" xfId="1" applyNumberFormat="1" applyFont="1" applyFill="1" applyAlignment="1">
      <alignment vertical="center"/>
    </xf>
    <xf numFmtId="164" fontId="4" fillId="5" borderId="3" xfId="1" applyNumberFormat="1" applyFont="1" applyFill="1" applyBorder="1" applyAlignment="1">
      <alignment vertical="center"/>
    </xf>
    <xf numFmtId="164" fontId="6" fillId="6" borderId="0" xfId="0" applyNumberFormat="1" applyFont="1" applyFill="1" applyAlignment="1">
      <alignment vertical="center"/>
    </xf>
    <xf numFmtId="164" fontId="6" fillId="6" borderId="0" xfId="1" applyNumberFormat="1" applyFont="1" applyFill="1" applyBorder="1" applyAlignment="1">
      <alignment vertical="center"/>
    </xf>
    <xf numFmtId="164" fontId="4" fillId="5" borderId="2" xfId="1" applyNumberFormat="1" applyFont="1" applyFill="1" applyBorder="1" applyAlignment="1">
      <alignment vertical="center"/>
    </xf>
    <xf numFmtId="164" fontId="3" fillId="3" borderId="0" xfId="0" applyNumberFormat="1" applyFont="1" applyFill="1" applyAlignment="1">
      <alignment horizontal="left" vertical="center"/>
    </xf>
    <xf numFmtId="164" fontId="4" fillId="4" borderId="4" xfId="0" applyNumberFormat="1" applyFont="1" applyFill="1" applyBorder="1" applyAlignment="1">
      <alignment horizontal="center" vertical="center"/>
    </xf>
    <xf numFmtId="164" fontId="4" fillId="5" borderId="5" xfId="1" applyNumberFormat="1" applyFont="1" applyFill="1" applyBorder="1" applyAlignment="1">
      <alignment vertical="center"/>
    </xf>
    <xf numFmtId="9" fontId="6" fillId="6" borderId="0" xfId="2" applyFont="1" applyFill="1" applyAlignment="1">
      <alignment vertical="center"/>
    </xf>
    <xf numFmtId="9" fontId="4" fillId="5" borderId="3" xfId="2" applyFont="1" applyFill="1" applyBorder="1" applyAlignment="1">
      <alignment vertical="center"/>
    </xf>
    <xf numFmtId="9" fontId="6" fillId="6" borderId="0" xfId="0" applyNumberFormat="1" applyFont="1" applyFill="1" applyAlignment="1">
      <alignment vertical="center"/>
    </xf>
    <xf numFmtId="9" fontId="6" fillId="6" borderId="0" xfId="2" applyFont="1" applyFill="1" applyBorder="1" applyAlignment="1">
      <alignment vertical="center"/>
    </xf>
    <xf numFmtId="9" fontId="4" fillId="5" borderId="2" xfId="2" applyFont="1" applyFill="1" applyBorder="1" applyAlignment="1">
      <alignment vertical="center"/>
    </xf>
    <xf numFmtId="9" fontId="3" fillId="3" borderId="0" xfId="0" applyNumberFormat="1" applyFont="1" applyFill="1" applyAlignment="1">
      <alignment horizontal="left" vertical="center"/>
    </xf>
    <xf numFmtId="49" fontId="8" fillId="6" borderId="0" xfId="0" quotePrefix="1" applyNumberFormat="1" applyFont="1" applyFill="1" applyAlignment="1">
      <alignment vertical="center"/>
    </xf>
    <xf numFmtId="164" fontId="8" fillId="6" borderId="0" xfId="0" applyNumberFormat="1" applyFont="1" applyFill="1" applyAlignment="1">
      <alignment vertical="center"/>
    </xf>
    <xf numFmtId="49" fontId="7" fillId="4" borderId="4" xfId="0" quotePrefix="1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49" fontId="7" fillId="5" borderId="4" xfId="0" quotePrefix="1" applyNumberFormat="1" applyFont="1" applyFill="1" applyBorder="1" applyAlignment="1">
      <alignment vertical="center"/>
    </xf>
    <xf numFmtId="164" fontId="7" fillId="5" borderId="4" xfId="0" applyNumberFormat="1" applyFont="1" applyFill="1" applyBorder="1" applyAlignment="1">
      <alignment vertical="center"/>
    </xf>
    <xf numFmtId="9" fontId="7" fillId="5" borderId="4" xfId="2" applyFont="1" applyFill="1" applyBorder="1" applyAlignment="1">
      <alignment vertical="center"/>
    </xf>
    <xf numFmtId="9" fontId="8" fillId="6" borderId="0" xfId="2" applyFont="1" applyFill="1" applyAlignment="1">
      <alignment vertical="center"/>
    </xf>
    <xf numFmtId="9" fontId="8" fillId="2" borderId="0" xfId="2" applyFont="1" applyFill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4" fillId="4" borderId="0" xfId="0" applyFont="1" applyFill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17" fontId="5" fillId="0" borderId="0" xfId="0" applyNumberFormat="1" applyFont="1" applyAlignment="1" applyProtection="1">
      <alignment vertical="center"/>
      <protection locked="0"/>
    </xf>
    <xf numFmtId="164" fontId="5" fillId="0" borderId="0" xfId="0" applyNumberFormat="1" applyFont="1" applyAlignment="1" applyProtection="1">
      <alignment horizontal="right" vertical="center"/>
      <protection locked="0"/>
    </xf>
    <xf numFmtId="165" fontId="5" fillId="0" borderId="0" xfId="0" applyNumberFormat="1" applyFont="1" applyAlignment="1" applyProtection="1">
      <alignment horizontal="right" vertical="center"/>
      <protection locked="0"/>
    </xf>
    <xf numFmtId="0" fontId="4" fillId="5" borderId="1" xfId="0" applyFont="1" applyFill="1" applyBorder="1" applyAlignment="1" applyProtection="1">
      <alignment vertical="center"/>
      <protection locked="0"/>
    </xf>
    <xf numFmtId="164" fontId="4" fillId="5" borderId="1" xfId="0" applyNumberFormat="1" applyFont="1" applyFill="1" applyBorder="1" applyAlignment="1" applyProtection="1">
      <alignment horizontal="right" vertical="center"/>
      <protection locked="0"/>
    </xf>
    <xf numFmtId="0" fontId="4" fillId="5" borderId="1" xfId="0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left" vertical="top" wrapText="1"/>
    </xf>
    <xf numFmtId="0" fontId="2" fillId="8" borderId="6" xfId="0" applyFont="1" applyFill="1" applyBorder="1" applyAlignment="1">
      <alignment horizontal="center" vertical="top" wrapText="1"/>
    </xf>
    <xf numFmtId="0" fontId="2" fillId="8" borderId="6" xfId="0" applyFont="1" applyFill="1" applyBorder="1" applyAlignment="1">
      <alignment horizontal="left" vertical="top" wrapText="1"/>
    </xf>
    <xf numFmtId="0" fontId="0" fillId="8" borderId="6" xfId="0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2" fillId="8" borderId="7" xfId="0" applyFont="1" applyFill="1" applyBorder="1" applyAlignment="1">
      <alignment horizontal="center" vertical="top" wrapText="1"/>
    </xf>
    <xf numFmtId="0" fontId="2" fillId="8" borderId="7" xfId="0" applyFont="1" applyFill="1" applyBorder="1" applyAlignment="1">
      <alignment horizontal="left" vertical="top" wrapText="1"/>
    </xf>
    <xf numFmtId="0" fontId="0" fillId="8" borderId="7" xfId="0" applyFill="1" applyBorder="1" applyAlignment="1">
      <alignment horizontal="left" vertical="top" wrapText="1"/>
    </xf>
    <xf numFmtId="0" fontId="3" fillId="7" borderId="8" xfId="0" applyFont="1" applyFill="1" applyBorder="1" applyAlignment="1">
      <alignment horizontal="center" vertical="center" wrapText="1"/>
    </xf>
    <xf numFmtId="0" fontId="11" fillId="0" borderId="0" xfId="0" applyFont="1"/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7" fontId="4" fillId="4" borderId="0" xfId="0" applyNumberFormat="1" applyFont="1" applyFill="1" applyAlignment="1">
      <alignment horizontal="center" vertical="center"/>
    </xf>
    <xf numFmtId="0" fontId="5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vertical="center"/>
      <protection locked="0"/>
    </xf>
    <xf numFmtId="17" fontId="6" fillId="0" borderId="0" xfId="0" applyNumberFormat="1" applyFont="1" applyAlignment="1" applyProtection="1">
      <alignment vertical="center"/>
      <protection locked="0"/>
    </xf>
    <xf numFmtId="164" fontId="6" fillId="0" borderId="0" xfId="0" applyNumberFormat="1" applyFont="1" applyAlignment="1" applyProtection="1">
      <alignment horizontal="right" vertical="center"/>
      <protection locked="0"/>
    </xf>
    <xf numFmtId="165" fontId="6" fillId="0" borderId="0" xfId="0" applyNumberFormat="1" applyFont="1" applyAlignment="1" applyProtection="1">
      <alignment horizontal="right" vertical="center"/>
      <protection locked="0"/>
    </xf>
    <xf numFmtId="164" fontId="6" fillId="0" borderId="0" xfId="0" applyNumberFormat="1" applyFont="1" applyAlignment="1">
      <alignment horizontal="right" vertical="center"/>
    </xf>
    <xf numFmtId="164" fontId="4" fillId="5" borderId="0" xfId="1" applyNumberFormat="1" applyFont="1" applyFill="1" applyBorder="1" applyAlignment="1">
      <alignment vertical="center"/>
    </xf>
    <xf numFmtId="164" fontId="6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3" borderId="0" xfId="0" applyFont="1" applyFill="1" applyAlignment="1" applyProtection="1">
      <alignment horizontal="left"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0" fontId="10" fillId="3" borderId="0" xfId="0" applyFont="1" applyFill="1" applyAlignment="1">
      <alignment horizontal="left" vertical="top" wrapText="1"/>
    </xf>
  </cellXfs>
  <cellStyles count="3">
    <cellStyle name="Comma" xfId="1" builtinId="3"/>
    <cellStyle name="Normal" xfId="0" builtinId="0"/>
    <cellStyle name="Percent" xfId="2" builtinId="5"/>
  </cellStyles>
  <dxfs count="131"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textRotation="0" wrapText="1" indent="0" justifyLastLine="0" shrinkToFit="0" readingOrder="0"/>
      <protection locked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70C0"/>
        <name val="Calibri"/>
      </font>
      <numFmt numFmtId="165" formatCode="0.0%"/>
      <alignment horizontal="right" vertical="center" textRotation="0" wrapText="0" indent="0" justifyLastLine="0" shrinkToFit="0" readingOrder="0"/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0"/>
    </dxf>
    <dxf>
      <font>
        <sz val="11"/>
        <color rgb="FF0070C0"/>
        <name val="Calibri"/>
      </font>
      <numFmt numFmtId="22" formatCode="mmm\-yy"/>
      <alignment horizontal="general" vertical="center" textRotation="0" wrapText="0" indent="0" justifyLastLine="0" shrinkToFit="0" readingOrder="0"/>
      <protection locked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indent="0" justifyLastLine="0" shrinkToFit="0" readingOrder="0"/>
      <protection locked="0"/>
    </dxf>
    <dxf>
      <font>
        <sz val="11"/>
        <color rgb="FF0070C0"/>
        <name val="Calibri"/>
      </font>
      <numFmt numFmtId="22" formatCode="mmm\-yy"/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sz val="11"/>
        <name val="Calibri"/>
      </font>
      <alignment vertical="center" textRotation="0" indent="0" justifyLastLine="0" shrinkToFit="0" readingOrder="0"/>
      <protection locked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textRotation="0" wrapText="1" indent="0" justifyLastLine="0" shrinkToFit="0" readingOrder="0"/>
      <protection locked="0"/>
    </dxf>
    <dxf>
      <font>
        <sz val="11"/>
        <color rgb="FF000000"/>
        <name val="Calibri"/>
      </font>
      <numFmt numFmtId="164" formatCode="_(* #,##0_);[Red]_(* \(#,##0\);_(* &quot;-&quot;_);_(@_)"/>
      <alignment vertical="center" textRotation="0" indent="0" justifyLastLine="0" shrinkToFit="0" readingOrder="0"/>
      <protection locked="0"/>
    </dxf>
    <dxf>
      <font>
        <sz val="11"/>
        <color rgb="FF000000"/>
        <name val="Calibri"/>
      </font>
      <numFmt numFmtId="164" formatCode="_(* #,##0_);[Red]_(* \(#,##0\);_(* &quot;-&quot;_);_(@_)"/>
      <alignment vertical="center" textRotation="0" indent="0" justifyLastLine="0" shrinkToFit="0" readingOrder="0"/>
      <protection locked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alignment vertical="center" textRotation="0" indent="0" justifyLastLine="0" shrinkToFit="0" readingOrder="0"/>
      <protection locked="0"/>
    </dxf>
    <dxf>
      <font>
        <sz val="11"/>
        <color rgb="FF000000"/>
        <name val="Calibri"/>
      </font>
      <alignment vertical="center" textRotation="0" indent="0" justifyLastLine="0" shrinkToFit="0" readingOrder="0"/>
      <protection locked="0"/>
    </dxf>
    <dxf>
      <font>
        <sz val="11"/>
        <color rgb="FF000000"/>
        <name val="Calibri"/>
      </font>
      <alignment vertical="center" textRotation="0" indent="0" justifyLastLine="0" shrinkToFit="0" readingOrder="0"/>
      <protection locked="0"/>
    </dxf>
    <dxf>
      <font>
        <sz val="11"/>
        <color rgb="FF000000"/>
        <name val="Calibri"/>
      </font>
      <alignment vertical="center" textRotation="0" indent="0" justifyLastLine="0" shrinkToFit="0" readingOrder="0"/>
      <protection locked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textRotation="0" wrapText="1" indent="0" justifyLastLine="0" shrinkToFit="0" readingOrder="0"/>
      <protection locked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0000"/>
        <name val="Calibri"/>
      </font>
      <numFmt numFmtId="165" formatCode="0.0%"/>
      <alignment horizontal="right" vertical="center" textRotation="0" wrapText="0" indent="0" justifyLastLine="0" shrinkToFit="0" readingOrder="0"/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0"/>
    </dxf>
    <dxf>
      <font>
        <sz val="11"/>
        <color rgb="FF000000"/>
        <name val="Calibri"/>
      </font>
      <numFmt numFmtId="22" formatCode="mmm\-yy"/>
      <alignment horizontal="general" vertical="center" textRotation="0" wrapText="0" indent="0" justifyLastLine="0" shrinkToFit="0" readingOrder="0"/>
      <protection locked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indent="0" justifyLastLine="0" shrinkToFit="0" readingOrder="0"/>
      <protection locked="0"/>
    </dxf>
    <dxf>
      <font>
        <sz val="11"/>
        <color rgb="FF000000"/>
        <name val="Calibri"/>
      </font>
      <numFmt numFmtId="22" formatCode="mmm\-yy"/>
      <alignment vertical="center" textRotation="0" indent="0" justifyLastLine="0" shrinkToFit="0" readingOrder="0"/>
      <protection locked="0"/>
    </dxf>
    <dxf>
      <font>
        <sz val="11"/>
        <color rgb="FF000000"/>
        <name val="Calibri"/>
      </font>
      <alignment vertical="center" textRotation="0" indent="0" justifyLastLine="0" shrinkToFit="0" readingOrder="0"/>
      <protection locked="0"/>
    </dxf>
    <dxf>
      <font>
        <sz val="11"/>
        <color rgb="FF000000"/>
        <name val="Calibri"/>
      </font>
      <alignment vertical="center" textRotation="0" indent="0" justifyLastLine="0" shrinkToFit="0" readingOrder="0"/>
      <protection locked="0"/>
    </dxf>
    <dxf>
      <font>
        <sz val="11"/>
        <color rgb="FF000000"/>
        <name val="Calibri"/>
      </font>
      <alignment vertical="center" textRotation="0" indent="0" justifyLastLine="0" shrinkToFit="0" readingOrder="0"/>
      <protection locked="0"/>
    </dxf>
    <dxf>
      <font>
        <sz val="11"/>
        <color rgb="FF000000"/>
        <name val="Calibri"/>
      </font>
      <alignment vertical="center" textRotation="0" indent="0" justifyLastLine="0" shrinkToFit="0" readingOrder="0"/>
      <protection locked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textRotation="0" wrapText="1" indent="0" justifyLastLine="0" shrinkToFit="0" readingOrder="0"/>
      <protection locked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FB57D3-D227-4089-98F9-9087049FE190}" name="tblPayrollIncrementalSpend" displayName="tblPayrollIncrementalSpend" ref="A4:R20" totalsRowShown="0" headerRowDxfId="130" dataDxfId="129">
  <autoFilter ref="A4:R20" xr:uid="{FAFB57D3-D227-4089-98F9-9087049FE190}"/>
  <tableColumns count="18">
    <tableColumn id="1" xr3:uid="{A04D0F33-2228-4506-83F7-1627EF0F7087}" name="Job Title" dataDxfId="128">
      <calculatedColumnFormula>IF(ISBLANK('Investment Case Asks - Monthly'!A5),"",'Investment Case Asks - Monthly'!A5)</calculatedColumnFormula>
    </tableColumn>
    <tableColumn id="2" xr3:uid="{0C751144-6EFF-4DCE-A9C4-140700FF9C92}" name="Job Level" dataDxfId="127">
      <calculatedColumnFormula>IF(ISBLANK('Investment Case Asks - Monthly'!B5),"",'Investment Case Asks - Monthly'!B5)</calculatedColumnFormula>
    </tableColumn>
    <tableColumn id="3" xr3:uid="{A85C9A84-2F25-49CB-B45E-46E4C9619AD0}" name="Role / Hire" dataDxfId="126">
      <calculatedColumnFormula>IF(ISBLANK('Investment Case Asks - Monthly'!C5),"",'Investment Case Asks - Monthly'!C5)</calculatedColumnFormula>
    </tableColumn>
    <tableColumn id="4" xr3:uid="{ED02E77E-0215-4F32-8427-ADB2E1F65CC3}" name="Location (City/Country)" dataDxfId="125">
      <calculatedColumnFormula>IF(ISBLANK('Investment Case Asks - Monthly'!D5),"",'Investment Case Asks - Monthly'!D5)</calculatedColumnFormula>
    </tableColumn>
    <tableColumn id="5" xr3:uid="{459A1ECC-63ED-4E5C-8008-2793B2F27594}" name="Key Job Responsibilities" dataDxfId="124">
      <calculatedColumnFormula>IF(ISBLANK('Investment Case Asks - Monthly'!E5),"",'Investment Case Asks - Monthly'!E5)</calculatedColumnFormula>
    </tableColumn>
    <tableColumn id="6" xr3:uid="{A4F7A42A-097B-4CE0-85D6-1FB3E1C9DC69}" name="Hire Date" dataDxfId="123">
      <calculatedColumnFormula>IF(ISBLANK('Investment Case Asks - Monthly'!F5),"",'Investment Case Asks - Monthly'!F5)</calculatedColumnFormula>
    </tableColumn>
    <tableColumn id="13" xr3:uid="{F8555B21-F1CA-466F-807E-70937395C692}" name="Base Salary" dataDxfId="122">
      <calculatedColumnFormula>IF(ISBLANK('Investment Case Asks - Monthly'!G5),"",'Investment Case Asks - Monthly'!G5)</calculatedColumnFormula>
    </tableColumn>
    <tableColumn id="7" xr3:uid="{0C378C10-3827-4235-9FB1-55C5283D76F8}" name="Bonus %" dataDxfId="121">
      <calculatedColumnFormula>IF(ISBLANK('Investment Case Asks - Monthly'!H5),"",'Investment Case Asks - Monthly'!H5)</calculatedColumnFormula>
    </tableColumn>
    <tableColumn id="8" xr3:uid="{3ABEE1F6-37AE-4AA8-B486-E8C4100E47AC}" name="Bonus" dataDxfId="120">
      <calculatedColumnFormula>IF(ISBLANK('Investment Case Asks - Monthly'!I5),"",'Investment Case Asks - Monthly'!I5)</calculatedColumnFormula>
    </tableColumn>
    <tableColumn id="9" xr3:uid="{00BE52E7-436A-47AB-A2A5-240806110538}" name="Payroll Taxes" dataDxfId="119">
      <calculatedColumnFormula>IF(ISBLANK('Investment Case Asks - Monthly'!J5),"",'Investment Case Asks - Monthly'!J5)</calculatedColumnFormula>
    </tableColumn>
    <tableColumn id="10" xr3:uid="{532ACF2D-32CC-4958-934D-3B0F037C7B5E}" name="Benefits" dataDxfId="118">
      <calculatedColumnFormula>IF(ISBLANK('Investment Case Asks - Monthly'!K5),"",'Investment Case Asks - Monthly'!K5)</calculatedColumnFormula>
    </tableColumn>
    <tableColumn id="11" xr3:uid="{52C7657A-7C26-4EBF-B353-0E12B0887ED0}" name="Vacation" dataDxfId="117">
      <calculatedColumnFormula>IF(ISBLANK('Investment Case Asks - Monthly'!L5),"",'Investment Case Asks - Monthly'!L5)</calculatedColumnFormula>
    </tableColumn>
    <tableColumn id="12" xr3:uid="{C6E3FDCD-23E4-43D7-AF72-66EEDB1903B2}" name="Other" dataDxfId="116">
      <calculatedColumnFormula>IF(ISBLANK('Investment Case Asks - Monthly'!M5),"",'Investment Case Asks - Monthly'!M5)</calculatedColumnFormula>
    </tableColumn>
    <tableColumn id="16" xr3:uid="{1A49569E-12D3-4496-B331-CB09D4D109D4}" name="2027 Annualized Spend" dataDxfId="115">
      <calculatedColumnFormula>IF(ISBLANK('Investment Case Asks - Monthly'!N5),"",'Investment Case Asks - Monthly'!N5)</calculatedColumnFormula>
    </tableColumn>
    <tableColumn id="14" xr3:uid="{C323B7AA-66B4-489D-8319-60EFD02C776F}" name="2027 Incremental Spend" dataDxfId="114">
      <calculatedColumnFormula>IF(ISBLANK('Investment Case Asks - Monthly'!AA5),"",'Investment Case Asks - Monthly'!AA5)</calculatedColumnFormula>
    </tableColumn>
    <tableColumn id="17" xr3:uid="{04AAE9CE-F861-4155-8D8C-E4162E011342}" name="2028 Incremental Spend" dataDxfId="113">
      <calculatedColumnFormula>IF(ISBLANK('Investment Case Asks - Monthly'!AN5),"",'Investment Case Asks - Monthly'!AN5)</calculatedColumnFormula>
    </tableColumn>
    <tableColumn id="19" xr3:uid="{1F46CA12-F750-4396-B351-75AA118C56C8}" name="2029 Incremental Spend" dataDxfId="112">
      <calculatedColumnFormula>IF(ISBLANK('Investment Case Asks - Monthly'!BA5),"",'Investment Case Asks - Monthly'!BA5)</calculatedColumnFormula>
    </tableColumn>
    <tableColumn id="15" xr3:uid="{9AE94FF8-1F35-4410-91AF-1A137D5A5878}" name="Notes / Rationale" dataDxfId="111">
      <calculatedColumnFormula>IF(ISBLANK('Investment Case Asks - Monthly'!BB5),"",'Investment Case Asks - Monthly'!BB5)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1626CA-A0F5-40CA-BD67-31E9FAB000B2}" name="tblNonPayrollIncrementalSpend" displayName="tblNonPayrollIncrementalSpend" ref="A27:G42" totalsRowShown="0" headerRowDxfId="110" dataDxfId="109">
  <autoFilter ref="A27:G42" xr:uid="{FD1626CA-A0F5-40CA-BD67-31E9FAB000B2}"/>
  <tableColumns count="7">
    <tableColumn id="1" xr3:uid="{37B14B0A-9401-4FE7-B4A3-C7D75637CAA3}" name="Expense Description" dataDxfId="108">
      <calculatedColumnFormula>IF(ISBLANK('Investment Case Asks - Monthly'!A28),"",'Investment Case Asks - Monthly'!A28)</calculatedColumnFormula>
    </tableColumn>
    <tableColumn id="2" xr3:uid="{73F14470-D55B-4B4D-AB2E-5348DF060384}" name="Type of Expense" dataDxfId="107">
      <calculatedColumnFormula>IF(ISBLANK('Investment Case Asks - Monthly'!B28),"",'Investment Case Asks - Monthly'!B28)</calculatedColumnFormula>
    </tableColumn>
    <tableColumn id="3" xr3:uid="{24138292-82D2-407C-B912-E87AEBB37955}" name="Vendor" dataDxfId="106">
      <calculatedColumnFormula>IF(ISBLANK('Investment Case Asks - Monthly'!C28),"",'Investment Case Asks - Monthly'!C28)</calculatedColumnFormula>
    </tableColumn>
    <tableColumn id="4" xr3:uid="{7B89BEF5-44C2-458A-9924-4EC331F00D32}" name="2027 Incremental Spend" dataDxfId="105">
      <calculatedColumnFormula>IF(ISBLANK('Investment Case Asks - Monthly'!Q28),"",'Investment Case Asks - Monthly'!Q28)</calculatedColumnFormula>
    </tableColumn>
    <tableColumn id="5" xr3:uid="{EC601F66-1E90-4E95-9121-643B5063D450}" name="2028 Incremental Spend" dataDxfId="104">
      <calculatedColumnFormula>IF(ISBLANK('Investment Case Asks - Monthly'!AD28),"",'Investment Case Asks - Monthly'!AD28)</calculatedColumnFormula>
    </tableColumn>
    <tableColumn id="6" xr3:uid="{E77CB248-6073-4846-92E8-D2C1EFD85F2F}" name="2029 Incremental Spend" dataDxfId="103">
      <calculatedColumnFormula>IF(ISBLANK('Investment Case Asks - Monthly'!AQ28),"",'Investment Case Asks - Monthly'!AQ28)</calculatedColumnFormula>
    </tableColumn>
    <tableColumn id="7" xr3:uid="{D823EF7D-AD91-4AA9-AC7B-776F22A07EB5}" name="Notes / Rationale" dataDxfId="102">
      <calculatedColumnFormula>IF(ISBLANK('Investment Case Asks - Monthly'!AR28),"",'Investment Case Asks - Monthly'!AR28)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1D5EB4-33F3-4BBE-AB83-8CA922D28D2E}" name="tblPayrollIncrementalSpend2" displayName="tblPayrollIncrementalSpend2" ref="A4:BB20" totalsRowShown="0" headerRowDxfId="101" dataDxfId="100">
  <autoFilter ref="A4:BB20" xr:uid="{FAFB57D3-D227-4089-98F9-9087049FE190}"/>
  <tableColumns count="54">
    <tableColumn id="1" xr3:uid="{9535E344-C22C-4672-8240-148B1817F299}" name="Job Title" dataDxfId="99"/>
    <tableColumn id="2" xr3:uid="{289AEEC6-7680-42D4-B72F-EAD7B3E1BA3C}" name="Job Level" dataDxfId="98"/>
    <tableColumn id="3" xr3:uid="{7DA3B380-6A6E-43BF-A872-8E3D4122C7B5}" name="Role / Hire" dataDxfId="97"/>
    <tableColumn id="4" xr3:uid="{F19520B8-F4E0-476E-B165-8423D41F531F}" name="Location (City/Country)" dataDxfId="96"/>
    <tableColumn id="5" xr3:uid="{9DFC111D-8C58-487D-88C2-215E92B25567}" name="Key Job Responsibilities" dataDxfId="95"/>
    <tableColumn id="6" xr3:uid="{7A159EAA-8A53-4486-AD51-3CE082C2F992}" name="Hire Date" dataDxfId="94"/>
    <tableColumn id="13" xr3:uid="{02215D1C-2EF7-4AF9-8158-7475D8AD8F48}" name="Base Salary" dataDxfId="93"/>
    <tableColumn id="7" xr3:uid="{48917ED4-5C1A-4846-B887-4BA995118386}" name="Bonus %" dataDxfId="92"/>
    <tableColumn id="8" xr3:uid="{5FE99610-9F56-4A94-9B5C-A906777C38F8}" name="Bonus" dataDxfId="91">
      <calculatedColumnFormula>IF(OR(COUNTA(tblPayrollIncrementalSpend2[[#This Row],[Job Title]:[Hire Date]])&gt;0,AND(ROW()=ROW(G5),tblPayrollIncrementalSpend2[[#This Row],[Base Salary]]&lt;&gt;"")),N(tblPayrollIncrementalSpend2[[#This Row],[Base Salary]])*N(tblPayrollIncrementalSpend2[[#This Row],[Bonus %]]),"")</calculatedColumnFormula>
    </tableColumn>
    <tableColumn id="9" xr3:uid="{F88637FE-01F9-43B2-9079-8B168619C31E}" name="Payroll Taxes" dataDxfId="90">
      <calculatedColumnFormula>IF(OR(COUNTA(tblPayrollIncrementalSpend2[[#This Row],[Job Title]:[Hire Date]])&gt;0,AND(ROW()=ROW(G5),tblPayrollIncrementalSpend2[[#This Row],[Base Salary]]&lt;&gt;"")),N(tblPayrollIncrementalSpend2[[#This Row],[Base Salary]])*'Base - Payroll'!$E$12,"")</calculatedColumnFormula>
    </tableColumn>
    <tableColumn id="10" xr3:uid="{49F4E24B-23DA-461F-9AAA-57BE6EEB543D}" name="Benefits" dataDxfId="89">
      <calculatedColumnFormula>IF(OR(COUNTA(tblPayrollIncrementalSpend2[[#This Row],[Job Title]:[Hire Date]])&gt;0,AND(ROW()=ROW(G5),tblPayrollIncrementalSpend2[[#This Row],[Base Salary]]&lt;&gt;"")),N(tblPayrollIncrementalSpend2[[#This Row],[Base Salary]])*'Base - Payroll'!$E$13,"")</calculatedColumnFormula>
    </tableColumn>
    <tableColumn id="11" xr3:uid="{3A74A747-F1EA-484A-BE45-E70F5D5D4D0A}" name="Vacation" dataDxfId="88">
      <calculatedColumnFormula>IF(OR(COUNTA(tblPayrollIncrementalSpend2[[#This Row],[Job Title]:[Hire Date]])&gt;0,AND(ROW()=ROW(G5),tblPayrollIncrementalSpend2[[#This Row],[Base Salary]]&lt;&gt;"")),N(tblPayrollIncrementalSpend2[[#This Row],[Base Salary]])*'Base - Payroll'!$E$15,"")</calculatedColumnFormula>
    </tableColumn>
    <tableColumn id="12" xr3:uid="{88444823-64C0-4F91-BA7B-F2767E7CCB9E}" name="Other" dataDxfId="87">
      <calculatedColumnFormula>IF(OR(COUNTA(tblPayrollIncrementalSpend2[[#This Row],[Job Title]:[Hire Date]])&gt;0,AND(ROW()=ROW(G5),tblPayrollIncrementalSpend2[[#This Row],[Base Salary]]&lt;&gt;"")),N(tblPayrollIncrementalSpend2[[#This Row],[Base Salary]])*'Base - Payroll'!$E$16,"")</calculatedColumnFormula>
    </tableColumn>
    <tableColumn id="16" xr3:uid="{65ED1E10-10EA-4A76-8369-5D44D5D8133A}" name="Annualized Spend" dataDxfId="86">
      <calculatedColumnFormula>IF(OR(COUNTA(tblPayrollIncrementalSpend2[[#This Row],[Job Title]:[Hire Date]])&gt;0,AND(ROW()=ROW(G5),tblPayrollIncrementalSpend2[[#This Row],[Base Salary]]&lt;&gt;"")),N(tblPayrollIncrementalSpend2[[#This Row],[Base Salary]])+SUM(tblPayrollIncrementalSpend2[[#This Row],[Bonus]:[Other]]),"")</calculatedColumnFormula>
    </tableColumn>
    <tableColumn id="14" xr3:uid="{E022361B-F49A-4458-BFEB-FF8302F0E5D2}" name="Jan-27" dataDxfId="85">
      <calculatedColumnFormula>_xlfn.LET(_xlpm.m,IF(ISNUMBER(O$4),DATE(YEAR(O$4),MONTH(O$4),1),DATEVALUE("1-"&amp;O$4)),IF(OR(COUNTA($A5:$F5)&gt;0,$G5&lt;&gt;""),$N5/12*IF($F5="",1,MAX(0,(EOMONTH(_xlpm.m,0)-MAX($F5,_xlpm.m)+1)/(EOMONTH(_xlpm.m,0)-_xlpm.m+1))),""))</calculatedColumnFormula>
    </tableColumn>
    <tableColumn id="17" xr3:uid="{85C011ED-FD5B-459E-B381-F981E8528A47}" name="Feb-27" dataDxfId="84">
      <calculatedColumnFormula>_xlfn.LET(_xlpm.m,IF(ISNUMBER(P$4),DATE(YEAR(P$4),MONTH(P$4),1),DATEVALUE("1-"&amp;P$4)),IF(OR(COUNTA($A5:$F5)&gt;0,$G5&lt;&gt;""),$N5/12*IF($F5="",1,MAX(0,(EOMONTH(_xlpm.m,0)-MAX($F5,_xlpm.m)+1)/(EOMONTH(_xlpm.m,0)-_xlpm.m+1))),""))</calculatedColumnFormula>
    </tableColumn>
    <tableColumn id="18" xr3:uid="{303A8F46-1FE9-4971-847F-87AD11005A1B}" name="Mar-27" dataDxfId="83">
      <calculatedColumnFormula>_xlfn.LET(_xlpm.m,IF(ISNUMBER(Q$4),DATE(YEAR(Q$4),MONTH(Q$4),1),DATEVALUE("1-"&amp;Q$4)),IF(OR(COUNTA($A5:$F5)&gt;0,$G5&lt;&gt;""),$N5/12*IF($F5="",1,MAX(0,(EOMONTH(_xlpm.m,0)-MAX($F5,_xlpm.m)+1)/(EOMONTH(_xlpm.m,0)-_xlpm.m+1))),""))</calculatedColumnFormula>
    </tableColumn>
    <tableColumn id="19" xr3:uid="{93238CF3-487D-4651-A5A6-4F603A4E78E5}" name="Apr-27" dataDxfId="82">
      <calculatedColumnFormula>_xlfn.LET(_xlpm.m,IF(ISNUMBER(R$4),DATE(YEAR(R$4),MONTH(R$4),1),DATEVALUE("1-"&amp;R$4)),IF(OR(COUNTA($A5:$F5)&gt;0,$G5&lt;&gt;""),$N5/12*IF($F5="",1,MAX(0,(EOMONTH(_xlpm.m,0)-MAX($F5,_xlpm.m)+1)/(EOMONTH(_xlpm.m,0)-_xlpm.m+1))),""))</calculatedColumnFormula>
    </tableColumn>
    <tableColumn id="20" xr3:uid="{786DECCB-24F5-48C4-A6F1-349D96CB1B4C}" name="May-27" dataDxfId="81">
      <calculatedColumnFormula>_xlfn.LET(_xlpm.m,IF(ISNUMBER(S$4),DATE(YEAR(S$4),MONTH(S$4),1),DATEVALUE("1-"&amp;S$4)),IF(OR(COUNTA($A5:$F5)&gt;0,$G5&lt;&gt;""),$N5/12*IF($F5="",1,MAX(0,(EOMONTH(_xlpm.m,0)-MAX($F5,_xlpm.m)+1)/(EOMONTH(_xlpm.m,0)-_xlpm.m+1))),""))</calculatedColumnFormula>
    </tableColumn>
    <tableColumn id="21" xr3:uid="{4BE5FAFD-0EC2-412E-9313-A3A5B7107FC4}" name="Jun-27" dataDxfId="80">
      <calculatedColumnFormula>_xlfn.LET(_xlpm.m,IF(ISNUMBER(T$4),DATE(YEAR(T$4),MONTH(T$4),1),DATEVALUE("1-"&amp;T$4)),IF(OR(COUNTA($A5:$F5)&gt;0,$G5&lt;&gt;""),$N5/12*IF($F5="",1,MAX(0,(EOMONTH(_xlpm.m,0)-MAX($F5,_xlpm.m)+1)/(EOMONTH(_xlpm.m,0)-_xlpm.m+1))),""))</calculatedColumnFormula>
    </tableColumn>
    <tableColumn id="22" xr3:uid="{2FCD0F9B-8446-4536-94E1-5464C427F7DB}" name="Jul-27" dataDxfId="79">
      <calculatedColumnFormula>_xlfn.LET(_xlpm.m,IF(ISNUMBER(U$4),DATE(YEAR(U$4),MONTH(U$4),1),DATEVALUE("1-"&amp;U$4)),IF(OR(COUNTA($A5:$F5)&gt;0,$G5&lt;&gt;""),$N5/12*IF($F5="",1,MAX(0,(EOMONTH(_xlpm.m,0)-MAX($F5,_xlpm.m)+1)/(EOMONTH(_xlpm.m,0)-_xlpm.m+1))),""))</calculatedColumnFormula>
    </tableColumn>
    <tableColumn id="23" xr3:uid="{2F35263F-779B-420B-A960-70F3E11B1232}" name="Aug-27" dataDxfId="78">
      <calculatedColumnFormula>_xlfn.LET(_xlpm.m,IF(ISNUMBER(V$4),DATE(YEAR(V$4),MONTH(V$4),1),DATEVALUE("1-"&amp;V$4)),IF(OR(COUNTA($A5:$F5)&gt;0,$G5&lt;&gt;""),$N5/12*IF($F5="",1,MAX(0,(EOMONTH(_xlpm.m,0)-MAX($F5,_xlpm.m)+1)/(EOMONTH(_xlpm.m,0)-_xlpm.m+1))),""))</calculatedColumnFormula>
    </tableColumn>
    <tableColumn id="24" xr3:uid="{D84684E5-FDEC-4BEE-8FD6-190697EF3CE4}" name="Sep-27" dataDxfId="77">
      <calculatedColumnFormula>_xlfn.LET(_xlpm.m,IF(ISNUMBER(W$4),DATE(YEAR(W$4),MONTH(W$4),1),DATEVALUE("1-"&amp;W$4)),IF(OR(COUNTA($A5:$F5)&gt;0,$G5&lt;&gt;""),$N5/12*IF($F5="",1,MAX(0,(EOMONTH(_xlpm.m,0)-MAX($F5,_xlpm.m)+1)/(EOMONTH(_xlpm.m,0)-_xlpm.m+1))),""))</calculatedColumnFormula>
    </tableColumn>
    <tableColumn id="25" xr3:uid="{1FB9B0D0-177E-45FA-BB08-ECCB75205310}" name="Oct-27" dataDxfId="76">
      <calculatedColumnFormula>_xlfn.LET(_xlpm.m,IF(ISNUMBER(X$4),DATE(YEAR(X$4),MONTH(X$4),1),DATEVALUE("1-"&amp;X$4)),IF(OR(COUNTA($A5:$F5)&gt;0,$G5&lt;&gt;""),$N5/12*IF($F5="",1,MAX(0,(EOMONTH(_xlpm.m,0)-MAX($F5,_xlpm.m)+1)/(EOMONTH(_xlpm.m,0)-_xlpm.m+1))),""))</calculatedColumnFormula>
    </tableColumn>
    <tableColumn id="26" xr3:uid="{30456E9A-A198-40C8-9457-21DDFFCD634B}" name="Nov-27" dataDxfId="75">
      <calculatedColumnFormula>_xlfn.LET(_xlpm.m,IF(ISNUMBER(Y$4),DATE(YEAR(Y$4),MONTH(Y$4),1),DATEVALUE("1-"&amp;Y$4)),IF(OR(COUNTA($A5:$F5)&gt;0,$G5&lt;&gt;""),$N5/12*IF($F5="",1,MAX(0,(EOMONTH(_xlpm.m,0)-MAX($F5,_xlpm.m)+1)/(EOMONTH(_xlpm.m,0)-_xlpm.m+1))),""))</calculatedColumnFormula>
    </tableColumn>
    <tableColumn id="27" xr3:uid="{70AA9470-93F8-4F13-8814-038194B24E53}" name="Dec-27" dataDxfId="74">
      <calculatedColumnFormula>_xlfn.LET(_xlpm.m,IF(ISNUMBER(Z$4),DATE(YEAR(Z$4),MONTH(Z$4),1),DATEVALUE("1-"&amp;Z$4)),IF(OR(COUNTA($A5:$F5)&gt;0,$G5&lt;&gt;""),$N5/12*IF($F5="",1,MAX(0,(EOMONTH(_xlpm.m,0)-MAX($F5,_xlpm.m)+1)/(EOMONTH(_xlpm.m,0)-_xlpm.m+1))),""))</calculatedColumnFormula>
    </tableColumn>
    <tableColumn id="28" xr3:uid="{D8CC9363-9270-453D-B968-6F2754F5943C}" name="2027 Incremental Spend" dataDxfId="73">
      <calculatedColumnFormula>IF(OR(COUNTA($A5:$F5)&gt;0,$G5&lt;&gt;""),SUM(O5:Z5),"")</calculatedColumnFormula>
    </tableColumn>
    <tableColumn id="29" xr3:uid="{F92E3210-34EF-4026-A394-DEB41E22E8E1}" name="Jan-28" dataDxfId="72">
      <calculatedColumnFormula>_xlfn.LET(_xlpm.m,IF(ISNUMBER(AB$4),DATE(YEAR(AB$4),MONTH(AB$4),1),DATEVALUE("1-"&amp;AB$4)),IF(OR(COUNTA($A5:$F5)&gt;0,$G5&lt;&gt;""),$N5/12*IF($F5="",1,MAX(0,(EOMONTH(_xlpm.m,0)-MAX($F5,_xlpm.m)+1)/(EOMONTH(_xlpm.m,0)-_xlpm.m+1))),""))</calculatedColumnFormula>
    </tableColumn>
    <tableColumn id="30" xr3:uid="{E7B56E43-2D8F-44D2-BCB0-A55E091E4A21}" name="Feb-28" dataDxfId="71">
      <calculatedColumnFormula>_xlfn.LET(_xlpm.m,IF(ISNUMBER(AC$4),DATE(YEAR(AC$4),MONTH(AC$4),1),DATEVALUE("1-"&amp;AC$4)),IF(OR(COUNTA($A5:$F5)&gt;0,$G5&lt;&gt;""),$N5/12*IF($F5="",1,MAX(0,(EOMONTH(_xlpm.m,0)-MAX($F5,_xlpm.m)+1)/(EOMONTH(_xlpm.m,0)-_xlpm.m+1))),""))</calculatedColumnFormula>
    </tableColumn>
    <tableColumn id="31" xr3:uid="{D39DFE43-53A8-4681-9F44-01F203A43061}" name="Mar-28" dataDxfId="70">
      <calculatedColumnFormula>_xlfn.LET(_xlpm.m,IF(ISNUMBER(AD$4),DATE(YEAR(AD$4),MONTH(AD$4),1),DATEVALUE("1-"&amp;AD$4)),IF(OR(COUNTA($A5:$F5)&gt;0,$G5&lt;&gt;""),$N5/12*IF($F5="",1,MAX(0,(EOMONTH(_xlpm.m,0)-MAX($F5,_xlpm.m)+1)/(EOMONTH(_xlpm.m,0)-_xlpm.m+1))),""))</calculatedColumnFormula>
    </tableColumn>
    <tableColumn id="32" xr3:uid="{A85649DB-2BF8-4100-9F5A-F910D195C45F}" name="Apr-28" dataDxfId="69">
      <calculatedColumnFormula>_xlfn.LET(_xlpm.m,IF(ISNUMBER(AE$4),DATE(YEAR(AE$4),MONTH(AE$4),1),DATEVALUE("1-"&amp;AE$4)),IF(OR(COUNTA($A5:$F5)&gt;0,$G5&lt;&gt;""),$N5/12*IF($F5="",1,MAX(0,(EOMONTH(_xlpm.m,0)-MAX($F5,_xlpm.m)+1)/(EOMONTH(_xlpm.m,0)-_xlpm.m+1))),""))</calculatedColumnFormula>
    </tableColumn>
    <tableColumn id="33" xr3:uid="{C926AD3C-B0F1-4011-80DB-6535ABE64774}" name="May-28" dataDxfId="68">
      <calculatedColumnFormula>_xlfn.LET(_xlpm.m,IF(ISNUMBER(AF$4),DATE(YEAR(AF$4),MONTH(AF$4),1),DATEVALUE("1-"&amp;AF$4)),IF(OR(COUNTA($A5:$F5)&gt;0,$G5&lt;&gt;""),$N5/12*IF($F5="",1,MAX(0,(EOMONTH(_xlpm.m,0)-MAX($F5,_xlpm.m)+1)/(EOMONTH(_xlpm.m,0)-_xlpm.m+1))),""))</calculatedColumnFormula>
    </tableColumn>
    <tableColumn id="34" xr3:uid="{529C4DA8-42CE-4EC5-A9FE-FF1D65B04EB8}" name="Jun-28" dataDxfId="67">
      <calculatedColumnFormula>_xlfn.LET(_xlpm.m,IF(ISNUMBER(AG$4),DATE(YEAR(AG$4),MONTH(AG$4),1),DATEVALUE("1-"&amp;AG$4)),IF(OR(COUNTA($A5:$F5)&gt;0,$G5&lt;&gt;""),$N5/12*IF($F5="",1,MAX(0,(EOMONTH(_xlpm.m,0)-MAX($F5,_xlpm.m)+1)/(EOMONTH(_xlpm.m,0)-_xlpm.m+1))),""))</calculatedColumnFormula>
    </tableColumn>
    <tableColumn id="35" xr3:uid="{6724DC10-6A0B-4006-97D7-A6248B826949}" name="Jul-28" dataDxfId="66">
      <calculatedColumnFormula>_xlfn.LET(_xlpm.m,IF(ISNUMBER(AH$4),DATE(YEAR(AH$4),MONTH(AH$4),1),DATEVALUE("1-"&amp;AH$4)),IF(OR(COUNTA($A5:$F5)&gt;0,$G5&lt;&gt;""),$N5/12*IF($F5="",1,MAX(0,(EOMONTH(_xlpm.m,0)-MAX($F5,_xlpm.m)+1)/(EOMONTH(_xlpm.m,0)-_xlpm.m+1))),""))</calculatedColumnFormula>
    </tableColumn>
    <tableColumn id="36" xr3:uid="{78072F93-7A03-4966-B395-139571710FCA}" name="Aug-28" dataDxfId="65">
      <calculatedColumnFormula>_xlfn.LET(_xlpm.m,IF(ISNUMBER(AI$4),DATE(YEAR(AI$4),MONTH(AI$4),1),DATEVALUE("1-"&amp;AI$4)),IF(OR(COUNTA($A5:$F5)&gt;0,$G5&lt;&gt;""),$N5/12*IF($F5="",1,MAX(0,(EOMONTH(_xlpm.m,0)-MAX($F5,_xlpm.m)+1)/(EOMONTH(_xlpm.m,0)-_xlpm.m+1))),""))</calculatedColumnFormula>
    </tableColumn>
    <tableColumn id="37" xr3:uid="{82DF1DF1-3845-4F04-86C3-4C5547EE1A83}" name="Sep-28" dataDxfId="64">
      <calculatedColumnFormula>_xlfn.LET(_xlpm.m,IF(ISNUMBER(AJ$4),DATE(YEAR(AJ$4),MONTH(AJ$4),1),DATEVALUE("1-"&amp;AJ$4)),IF(OR(COUNTA($A5:$F5)&gt;0,$G5&lt;&gt;""),$N5/12*IF($F5="",1,MAX(0,(EOMONTH(_xlpm.m,0)-MAX($F5,_xlpm.m)+1)/(EOMONTH(_xlpm.m,0)-_xlpm.m+1))),""))</calculatedColumnFormula>
    </tableColumn>
    <tableColumn id="38" xr3:uid="{F30DCC0F-FF4A-4FF3-9BE6-0DFB6B5A9867}" name="Oct-28" dataDxfId="63">
      <calculatedColumnFormula>_xlfn.LET(_xlpm.m,IF(ISNUMBER(AK$4),DATE(YEAR(AK$4),MONTH(AK$4),1),DATEVALUE("1-"&amp;AK$4)),IF(OR(COUNTA($A5:$F5)&gt;0,$G5&lt;&gt;""),$N5/12*IF($F5="",1,MAX(0,(EOMONTH(_xlpm.m,0)-MAX($F5,_xlpm.m)+1)/(EOMONTH(_xlpm.m,0)-_xlpm.m+1))),""))</calculatedColumnFormula>
    </tableColumn>
    <tableColumn id="39" xr3:uid="{FC40053F-6247-475F-9AE8-B9592E114417}" name="Nov-28" dataDxfId="62">
      <calculatedColumnFormula>_xlfn.LET(_xlpm.m,IF(ISNUMBER(AL$4),DATE(YEAR(AL$4),MONTH(AL$4),1),DATEVALUE("1-"&amp;AL$4)),IF(OR(COUNTA($A5:$F5)&gt;0,$G5&lt;&gt;""),$N5/12*IF($F5="",1,MAX(0,(EOMONTH(_xlpm.m,0)-MAX($F5,_xlpm.m)+1)/(EOMONTH(_xlpm.m,0)-_xlpm.m+1))),""))</calculatedColumnFormula>
    </tableColumn>
    <tableColumn id="40" xr3:uid="{CED8ADA3-8EB4-4354-9C57-3DFDCD012A18}" name="Dec-28" dataDxfId="61">
      <calculatedColumnFormula>_xlfn.LET(_xlpm.m,IF(ISNUMBER(AM$4),DATE(YEAR(AM$4),MONTH(AM$4),1),DATEVALUE("1-"&amp;AM$4)),IF(OR(COUNTA($A5:$F5)&gt;0,$G5&lt;&gt;""),$N5/12*IF($F5="",1,MAX(0,(EOMONTH(_xlpm.m,0)-MAX($F5,_xlpm.m)+1)/(EOMONTH(_xlpm.m,0)-_xlpm.m+1))),""))</calculatedColumnFormula>
    </tableColumn>
    <tableColumn id="41" xr3:uid="{4A3163A5-AE11-4E7D-B6E1-D276756D1FB0}" name="2028 Incremental Spend" dataDxfId="60">
      <calculatedColumnFormula>IF(OR(COUNTA($A5:$F5)&gt;0,$G5&lt;&gt;""),SUM(AB5:AM5),"")</calculatedColumnFormula>
    </tableColumn>
    <tableColumn id="42" xr3:uid="{5F18707C-DB3D-4D04-85BB-2ED1DDE34365}" name="Jan-29" dataDxfId="59">
      <calculatedColumnFormula>_xlfn.LET(_xlpm.m,IF(ISNUMBER(AO$4),DATE(YEAR(AO$4),MONTH(AO$4),1),DATEVALUE("1-"&amp;AO$4)),IF(OR(COUNTA($A5:$F5)&gt;0,$G5&lt;&gt;""),$N5/12*IF($F5="",1,MAX(0,(EOMONTH(_xlpm.m,0)-MAX($F5,_xlpm.m)+1)/(EOMONTH(_xlpm.m,0)-_xlpm.m+1))),""))</calculatedColumnFormula>
    </tableColumn>
    <tableColumn id="43" xr3:uid="{8FD4D767-1E6C-4208-BD49-CBB75DB8B77A}" name="Feb-29" dataDxfId="58">
      <calculatedColumnFormula>_xlfn.LET(_xlpm.m,IF(ISNUMBER(AP$4),DATE(YEAR(AP$4),MONTH(AP$4),1),DATEVALUE("1-"&amp;AP$4)),IF(OR(COUNTA($A5:$F5)&gt;0,$G5&lt;&gt;""),$N5/12*IF($F5="",1,MAX(0,(EOMONTH(_xlpm.m,0)-MAX($F5,_xlpm.m)+1)/(EOMONTH(_xlpm.m,0)-_xlpm.m+1))),""))</calculatedColumnFormula>
    </tableColumn>
    <tableColumn id="44" xr3:uid="{EF1A519E-C3D3-4611-9098-50678ABB6409}" name="Mar-29" dataDxfId="57">
      <calculatedColumnFormula>_xlfn.LET(_xlpm.m,IF(ISNUMBER(AQ$4),DATE(YEAR(AQ$4),MONTH(AQ$4),1),DATEVALUE("1-"&amp;AQ$4)),IF(OR(COUNTA($A5:$F5)&gt;0,$G5&lt;&gt;""),$N5/12*IF($F5="",1,MAX(0,(EOMONTH(_xlpm.m,0)-MAX($F5,_xlpm.m)+1)/(EOMONTH(_xlpm.m,0)-_xlpm.m+1))),""))</calculatedColumnFormula>
    </tableColumn>
    <tableColumn id="45" xr3:uid="{B4938235-6D8B-43AE-BF5C-D8DE967360AD}" name="Apr-29" dataDxfId="56">
      <calculatedColumnFormula>_xlfn.LET(_xlpm.m,IF(ISNUMBER(AR$4),DATE(YEAR(AR$4),MONTH(AR$4),1),DATEVALUE("1-"&amp;AR$4)),IF(OR(COUNTA($A5:$F5)&gt;0,$G5&lt;&gt;""),$N5/12*IF($F5="",1,MAX(0,(EOMONTH(_xlpm.m,0)-MAX($F5,_xlpm.m)+1)/(EOMONTH(_xlpm.m,0)-_xlpm.m+1))),""))</calculatedColumnFormula>
    </tableColumn>
    <tableColumn id="46" xr3:uid="{71BA0CC9-F1C0-49FD-BF84-FFA9A67EB524}" name="May-29" dataDxfId="55">
      <calculatedColumnFormula>_xlfn.LET(_xlpm.m,IF(ISNUMBER(AS$4),DATE(YEAR(AS$4),MONTH(AS$4),1),DATEVALUE("1-"&amp;AS$4)),IF(OR(COUNTA($A5:$F5)&gt;0,$G5&lt;&gt;""),$N5/12*IF($F5="",1,MAX(0,(EOMONTH(_xlpm.m,0)-MAX($F5,_xlpm.m)+1)/(EOMONTH(_xlpm.m,0)-_xlpm.m+1))),""))</calculatedColumnFormula>
    </tableColumn>
    <tableColumn id="47" xr3:uid="{993A174A-A115-4D9D-A605-C2C8BBA49075}" name="Jun-29" dataDxfId="54">
      <calculatedColumnFormula>_xlfn.LET(_xlpm.m,IF(ISNUMBER(AT$4),DATE(YEAR(AT$4),MONTH(AT$4),1),DATEVALUE("1-"&amp;AT$4)),IF(OR(COUNTA($A5:$F5)&gt;0,$G5&lt;&gt;""),$N5/12*IF($F5="",1,MAX(0,(EOMONTH(_xlpm.m,0)-MAX($F5,_xlpm.m)+1)/(EOMONTH(_xlpm.m,0)-_xlpm.m+1))),""))</calculatedColumnFormula>
    </tableColumn>
    <tableColumn id="48" xr3:uid="{BE3EEA9D-A3A7-4814-99B5-676516229D15}" name="Jul-29" dataDxfId="53">
      <calculatedColumnFormula>_xlfn.LET(_xlpm.m,IF(ISNUMBER(AU$4),DATE(YEAR(AU$4),MONTH(AU$4),1),DATEVALUE("1-"&amp;AU$4)),IF(OR(COUNTA($A5:$F5)&gt;0,$G5&lt;&gt;""),$N5/12*IF($F5="",1,MAX(0,(EOMONTH(_xlpm.m,0)-MAX($F5,_xlpm.m)+1)/(EOMONTH(_xlpm.m,0)-_xlpm.m+1))),""))</calculatedColumnFormula>
    </tableColumn>
    <tableColumn id="49" xr3:uid="{48F8CF5B-3FEE-4192-B51B-56E2BDCD886C}" name="Aug-29" dataDxfId="52">
      <calculatedColumnFormula>_xlfn.LET(_xlpm.m,IF(ISNUMBER(AV$4),DATE(YEAR(AV$4),MONTH(AV$4),1),DATEVALUE("1-"&amp;AV$4)),IF(OR(COUNTA($A5:$F5)&gt;0,$G5&lt;&gt;""),$N5/12*IF($F5="",1,MAX(0,(EOMONTH(_xlpm.m,0)-MAX($F5,_xlpm.m)+1)/(EOMONTH(_xlpm.m,0)-_xlpm.m+1))),""))</calculatedColumnFormula>
    </tableColumn>
    <tableColumn id="50" xr3:uid="{21B5FB24-05AD-4545-852A-757A6465C15D}" name="Sep-29" dataDxfId="51">
      <calculatedColumnFormula>_xlfn.LET(_xlpm.m,IF(ISNUMBER(AW$4),DATE(YEAR(AW$4),MONTH(AW$4),1),DATEVALUE("1-"&amp;AW$4)),IF(OR(COUNTA($A5:$F5)&gt;0,$G5&lt;&gt;""),$N5/12*IF($F5="",1,MAX(0,(EOMONTH(_xlpm.m,0)-MAX($F5,_xlpm.m)+1)/(EOMONTH(_xlpm.m,0)-_xlpm.m+1))),""))</calculatedColumnFormula>
    </tableColumn>
    <tableColumn id="51" xr3:uid="{86C1CD23-DFFA-4355-B69A-94CEC671135F}" name="Oct-29" dataDxfId="50">
      <calculatedColumnFormula>_xlfn.LET(_xlpm.m,IF(ISNUMBER(AX$4),DATE(YEAR(AX$4),MONTH(AX$4),1),DATEVALUE("1-"&amp;AX$4)),IF(OR(COUNTA($A5:$F5)&gt;0,$G5&lt;&gt;""),$N5/12*IF($F5="",1,MAX(0,(EOMONTH(_xlpm.m,0)-MAX($F5,_xlpm.m)+1)/(EOMONTH(_xlpm.m,0)-_xlpm.m+1))),""))</calculatedColumnFormula>
    </tableColumn>
    <tableColumn id="52" xr3:uid="{0DB902DA-3DFE-4E12-BEB9-F67E22131141}" name="Nov-29" dataDxfId="49">
      <calculatedColumnFormula>_xlfn.LET(_xlpm.m,IF(ISNUMBER(AY$4),DATE(YEAR(AY$4),MONTH(AY$4),1),DATEVALUE("1-"&amp;AY$4)),IF(OR(COUNTA($A5:$F5)&gt;0,$G5&lt;&gt;""),$N5/12*IF($F5="",1,MAX(0,(EOMONTH(_xlpm.m,0)-MAX($F5,_xlpm.m)+1)/(EOMONTH(_xlpm.m,0)-_xlpm.m+1))),""))</calculatedColumnFormula>
    </tableColumn>
    <tableColumn id="53" xr3:uid="{8B089210-9327-42B1-BEC9-7387A64612D9}" name="Dec-29" dataDxfId="48">
      <calculatedColumnFormula>_xlfn.LET(_xlpm.m,IF(ISNUMBER(AZ$4),DATE(YEAR(AZ$4),MONTH(AZ$4),1),DATEVALUE("1-"&amp;AZ$4)),IF(OR(COUNTA($A5:$F5)&gt;0,$G5&lt;&gt;""),$N5/12*IF($F5="",1,MAX(0,(EOMONTH(_xlpm.m,0)-MAX($F5,_xlpm.m)+1)/(EOMONTH(_xlpm.m,0)-_xlpm.m+1))),""))</calculatedColumnFormula>
    </tableColumn>
    <tableColumn id="54" xr3:uid="{2C97B519-87DF-49C9-BBDD-FB50E3FAE117}" name="2029 Incremental Spend" dataDxfId="47">
      <calculatedColumnFormula>IF(OR(COUNTA($A5:$F5)&gt;0,$G5&lt;&gt;""),SUM(AO5:AZ5),"")</calculatedColumnFormula>
    </tableColumn>
    <tableColumn id="15" xr3:uid="{C1C3236C-6736-4FA6-B2C8-4EA3BCDBE039}" name="Notes / Rationale" dataDxfId="4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B8E90E-C9B3-46D2-97DE-4572EC0893FB}" name="tblNonPayrollIncrementalSpend3" displayName="tblNonPayrollIncrementalSpend3" ref="A27:AR42" totalsRowShown="0" headerRowDxfId="45" dataDxfId="44">
  <autoFilter ref="A27:AR42" xr:uid="{FD1626CA-A0F5-40CA-BD67-31E9FAB000B2}"/>
  <tableColumns count="44">
    <tableColumn id="1" xr3:uid="{23463867-D4EB-4C7F-99CB-35ACFB8424A3}" name="Expense Description" dataDxfId="43"/>
    <tableColumn id="2" xr3:uid="{A442FE84-FEFB-4307-8D92-13A5592D7E0B}" name="Type of Expense" dataDxfId="42"/>
    <tableColumn id="3" xr3:uid="{5AF3BF5C-CF45-4EBA-8CB9-CD88B86761E8}" name="Vendor" dataDxfId="41"/>
    <tableColumn id="4" xr3:uid="{8AB38C23-DFC8-49C7-BCCD-2C679D84A158}" name="Annualized Spend" dataDxfId="40"/>
    <tableColumn id="5" xr3:uid="{3DE061AA-0500-42BC-B88D-19F242176F8E}" name="Jan-27" dataDxfId="39">
      <calculatedColumnFormula>IF(OR(COUNTA($A28:$C28)&gt;0,$D28&lt;&gt;""),N($D28)/12,"")</calculatedColumnFormula>
    </tableColumn>
    <tableColumn id="6" xr3:uid="{87ECF0A6-AFED-4F3B-9684-72CDEBBDBA50}" name="Feb-27" dataDxfId="38">
      <calculatedColumnFormula>IF(OR(COUNTA($A28:$C28)&gt;0,$D28&lt;&gt;""),N($D28)/12,"")</calculatedColumnFormula>
    </tableColumn>
    <tableColumn id="7" xr3:uid="{61955E30-D210-4057-AEA3-137990D9F2F3}" name="Mar-27" dataDxfId="37">
      <calculatedColumnFormula>IF(OR(COUNTA($A28:$C28)&gt;0,$D28&lt;&gt;""),N($D28)/12,"")</calculatedColumnFormula>
    </tableColumn>
    <tableColumn id="8" xr3:uid="{968F0974-8158-4C71-8C5A-A33F41F1F0D9}" name="Apr-27" dataDxfId="36">
      <calculatedColumnFormula>IF(OR(COUNTA($A28:$C28)&gt;0,$D28&lt;&gt;""),N($D28)/12,"")</calculatedColumnFormula>
    </tableColumn>
    <tableColumn id="9" xr3:uid="{3B3997F0-DDA4-4819-BF68-D9E019E30769}" name="May-27" dataDxfId="35">
      <calculatedColumnFormula>IF(OR(COUNTA($A28:$C28)&gt;0,$D28&lt;&gt;""),N($D28)/12,"")</calculatedColumnFormula>
    </tableColumn>
    <tableColumn id="10" xr3:uid="{9ABBBA28-8168-4D1F-A800-52A81531100F}" name="Jun-27" dataDxfId="34">
      <calculatedColumnFormula>IF(OR(COUNTA($A28:$C28)&gt;0,$D28&lt;&gt;""),N($D28)/12,"")</calculatedColumnFormula>
    </tableColumn>
    <tableColumn id="11" xr3:uid="{6A5EC8A5-28E1-4A83-94B6-C3E07A9EA1BF}" name="Jul-27" dataDxfId="33">
      <calculatedColumnFormula>IF(OR(COUNTA($A28:$C28)&gt;0,$D28&lt;&gt;""),N($D28)/12,"")</calculatedColumnFormula>
    </tableColumn>
    <tableColumn id="12" xr3:uid="{65B69ECC-1AEB-4569-B185-B163954A3D03}" name="Aug-27" dataDxfId="32">
      <calculatedColumnFormula>IF(OR(COUNTA($A28:$C28)&gt;0,$D28&lt;&gt;""),N($D28)/12,"")</calculatedColumnFormula>
    </tableColumn>
    <tableColumn id="13" xr3:uid="{6482CD67-EBEC-4B38-B9DE-C7E42EB80837}" name="Sep-27" dataDxfId="31">
      <calculatedColumnFormula>IF(OR(COUNTA($A28:$C28)&gt;0,$D28&lt;&gt;""),N($D28)/12,"")</calculatedColumnFormula>
    </tableColumn>
    <tableColumn id="14" xr3:uid="{A97B11ED-078F-4D48-8F50-6B3EDEA03D84}" name="Oct-27" dataDxfId="30">
      <calculatedColumnFormula>IF(OR(COUNTA($A28:$C28)&gt;0,$D28&lt;&gt;""),N($D28)/12,"")</calculatedColumnFormula>
    </tableColumn>
    <tableColumn id="15" xr3:uid="{61C5AB07-FDCD-4B4B-9D64-73D74E163992}" name="Nov-27" dataDxfId="29">
      <calculatedColumnFormula>IF(OR(COUNTA($A28:$C28)&gt;0,$D28&lt;&gt;""),N($D28)/12,"")</calculatedColumnFormula>
    </tableColumn>
    <tableColumn id="16" xr3:uid="{245C5732-D129-4072-81D4-C6C6A8F54201}" name="Dec-27" dataDxfId="28">
      <calculatedColumnFormula>IF(OR(COUNTA($A28:$C28)&gt;0,$D28&lt;&gt;""),N($D28)/12,"")</calculatedColumnFormula>
    </tableColumn>
    <tableColumn id="17" xr3:uid="{34808725-0D43-4F5F-958A-32E88EFBBB9B}" name="2027 Incremental Spend" dataDxfId="27">
      <calculatedColumnFormula>IF(OR(COUNTA($A28:$C28)&gt;0,$D28&lt;&gt;""),SUM(E28:P28),"")</calculatedColumnFormula>
    </tableColumn>
    <tableColumn id="18" xr3:uid="{BCEDF2AC-7EFA-4584-B926-CCA8A283369A}" name="Jan-28" dataDxfId="26">
      <calculatedColumnFormula>IF(OR(COUNTA($A28:$C28)&gt;0,$D28&lt;&gt;""),N($D28)/12,"")</calculatedColumnFormula>
    </tableColumn>
    <tableColumn id="19" xr3:uid="{43D24763-FA1B-4A9B-AFB3-BEE5CAB5A025}" name="Feb-28" dataDxfId="25">
      <calculatedColumnFormula>IF(OR(COUNTA($A28:$C28)&gt;0,$D28&lt;&gt;""),N($D28)/12,"")</calculatedColumnFormula>
    </tableColumn>
    <tableColumn id="20" xr3:uid="{697A22FE-DD65-4DBE-A841-DF539E198590}" name="Mar-28" dataDxfId="24">
      <calculatedColumnFormula>IF(OR(COUNTA($A28:$C28)&gt;0,$D28&lt;&gt;""),N($D28)/12,"")</calculatedColumnFormula>
    </tableColumn>
    <tableColumn id="21" xr3:uid="{E18DEEBA-D055-46CB-A497-BFC97D20723C}" name="Apr-28" dataDxfId="23">
      <calculatedColumnFormula>IF(OR(COUNTA($A28:$C28)&gt;0,$D28&lt;&gt;""),N($D28)/12,"")</calculatedColumnFormula>
    </tableColumn>
    <tableColumn id="22" xr3:uid="{AFAB0E55-ECA0-42A7-BFB9-2FC7400EE1B6}" name="May-28" dataDxfId="22">
      <calculatedColumnFormula>IF(OR(COUNTA($A28:$C28)&gt;0,$D28&lt;&gt;""),N($D28)/12,"")</calculatedColumnFormula>
    </tableColumn>
    <tableColumn id="23" xr3:uid="{08D6CEFB-1006-401F-864A-53D7B9DED6F4}" name="Jun-28" dataDxfId="21">
      <calculatedColumnFormula>IF(OR(COUNTA($A28:$C28)&gt;0,$D28&lt;&gt;""),N($D28)/12,"")</calculatedColumnFormula>
    </tableColumn>
    <tableColumn id="24" xr3:uid="{1C19BF14-0CA3-4765-ACEB-829332B445D2}" name="Jul-28" dataDxfId="20">
      <calculatedColumnFormula>IF(OR(COUNTA($A28:$C28)&gt;0,$D28&lt;&gt;""),N($D28)/12,"")</calculatedColumnFormula>
    </tableColumn>
    <tableColumn id="25" xr3:uid="{6B98B90F-9535-479D-8510-809BA2268153}" name="Aug-28" dataDxfId="19">
      <calculatedColumnFormula>IF(OR(COUNTA($A28:$C28)&gt;0,$D28&lt;&gt;""),N($D28)/12,"")</calculatedColumnFormula>
    </tableColumn>
    <tableColumn id="26" xr3:uid="{B3D3765E-767B-41B8-A71A-EB0C47A73D5F}" name="Sep-28" dataDxfId="18">
      <calculatedColumnFormula>IF(OR(COUNTA($A28:$C28)&gt;0,$D28&lt;&gt;""),N($D28)/12,"")</calculatedColumnFormula>
    </tableColumn>
    <tableColumn id="27" xr3:uid="{2072D3D1-DB50-4469-8A8A-9BD8F7789C55}" name="Oct-28" dataDxfId="17">
      <calculatedColumnFormula>IF(OR(COUNTA($A28:$C28)&gt;0,$D28&lt;&gt;""),N($D28)/12,"")</calculatedColumnFormula>
    </tableColumn>
    <tableColumn id="28" xr3:uid="{6DB78C45-6141-472B-8B19-A248EFBC60F7}" name="Nov-28" dataDxfId="16">
      <calculatedColumnFormula>IF(OR(COUNTA($A28:$C28)&gt;0,$D28&lt;&gt;""),N($D28)/12,"")</calculatedColumnFormula>
    </tableColumn>
    <tableColumn id="29" xr3:uid="{C2EF9416-B26B-4AEB-88BF-2C885D8C4372}" name="Dec-28" dataDxfId="15">
      <calculatedColumnFormula>IF(OR(COUNTA($A28:$C28)&gt;0,$D28&lt;&gt;""),N($D28)/12,"")</calculatedColumnFormula>
    </tableColumn>
    <tableColumn id="30" xr3:uid="{601C9045-0F56-4AC6-BA5C-5F390EB1DD7D}" name="2028 Incremental Spend" dataDxfId="14">
      <calculatedColumnFormula>IF(OR(COUNTA($A28:$C28)&gt;0,$D28&lt;&gt;""),SUM(R28:AC28),"")</calculatedColumnFormula>
    </tableColumn>
    <tableColumn id="31" xr3:uid="{7BD4006E-6514-40DA-9F00-B38021B3853B}" name="Jan-29" dataDxfId="13">
      <calculatedColumnFormula>IF(OR(COUNTA($A28:$C28)&gt;0,$D28&lt;&gt;""),N($D28)/12,"")</calculatedColumnFormula>
    </tableColumn>
    <tableColumn id="32" xr3:uid="{816D0F1D-8055-4176-80C5-CDA1CEEE9844}" name="Feb-29" dataDxfId="12">
      <calculatedColumnFormula>IF(OR(COUNTA($A28:$C28)&gt;0,$D28&lt;&gt;""),N($D28)/12,"")</calculatedColumnFormula>
    </tableColumn>
    <tableColumn id="33" xr3:uid="{4B64CD07-994A-4307-9D85-357896286980}" name="Mar-29" dataDxfId="11">
      <calculatedColumnFormula>IF(OR(COUNTA($A28:$C28)&gt;0,$D28&lt;&gt;""),N($D28)/12,"")</calculatedColumnFormula>
    </tableColumn>
    <tableColumn id="34" xr3:uid="{9E3B8B25-3DA9-4BB6-9D44-5E2578B28E07}" name="Apr-29" dataDxfId="10">
      <calculatedColumnFormula>IF(OR(COUNTA($A28:$C28)&gt;0,$D28&lt;&gt;""),N($D28)/12,"")</calculatedColumnFormula>
    </tableColumn>
    <tableColumn id="35" xr3:uid="{A0E3F33C-4D27-4981-A1DD-F3B3AFCAA3A7}" name="May-29" dataDxfId="9">
      <calculatedColumnFormula>IF(OR(COUNTA($A28:$C28)&gt;0,$D28&lt;&gt;""),N($D28)/12,"")</calculatedColumnFormula>
    </tableColumn>
    <tableColumn id="36" xr3:uid="{A97C4024-4847-4B7F-B4FD-1FCC8E6E3AD7}" name="Jun-29" dataDxfId="8">
      <calculatedColumnFormula>IF(OR(COUNTA($A28:$C28)&gt;0,$D28&lt;&gt;""),N($D28)/12,"")</calculatedColumnFormula>
    </tableColumn>
    <tableColumn id="37" xr3:uid="{E95C2A1A-FB13-4945-BC37-094FFA102FFD}" name="Jul-29" dataDxfId="7">
      <calculatedColumnFormula>IF(OR(COUNTA($A28:$C28)&gt;0,$D28&lt;&gt;""),N($D28)/12,"")</calculatedColumnFormula>
    </tableColumn>
    <tableColumn id="38" xr3:uid="{ABCC1135-21E7-4C5B-8723-2D4B291EC519}" name="Aug-29" dataDxfId="6">
      <calculatedColumnFormula>IF(OR(COUNTA($A28:$C28)&gt;0,$D28&lt;&gt;""),N($D28)/12,"")</calculatedColumnFormula>
    </tableColumn>
    <tableColumn id="39" xr3:uid="{A0DDCDF4-00E6-4DEC-AEB7-CC516489E6DE}" name="Sep-29" dataDxfId="5">
      <calculatedColumnFormula>IF(OR(COUNTA($A28:$C28)&gt;0,$D28&lt;&gt;""),N($D28)/12,"")</calculatedColumnFormula>
    </tableColumn>
    <tableColumn id="40" xr3:uid="{771F744C-F08F-4BE8-9E55-AD75FD5A3E58}" name="Oct-29" dataDxfId="4">
      <calculatedColumnFormula>IF(OR(COUNTA($A28:$C28)&gt;0,$D28&lt;&gt;""),N($D28)/12,"")</calculatedColumnFormula>
    </tableColumn>
    <tableColumn id="41" xr3:uid="{528D0AE7-31B5-47C9-9C8F-B8395B834C56}" name="Nov-29" dataDxfId="3">
      <calculatedColumnFormula>IF(OR(COUNTA($A28:$C28)&gt;0,$D28&lt;&gt;""),N($D28)/12,"")</calculatedColumnFormula>
    </tableColumn>
    <tableColumn id="42" xr3:uid="{57CD7703-8205-4F76-8897-94E227D3A91E}" name="Dec-29" dataDxfId="2">
      <calculatedColumnFormula>IF(OR(COUNTA($A28:$C28)&gt;0,$D28&lt;&gt;""),N($D28)/12,"")</calculatedColumnFormula>
    </tableColumn>
    <tableColumn id="43" xr3:uid="{B237E247-1F5E-4B05-91C1-CE3D93781020}" name="2029 Incremental Spend" dataDxfId="1">
      <calculatedColumnFormula>IF(OR(COUNTA($A28:$C28)&gt;0,$D28&lt;&gt;""),SUM(AE28:AP28),"")</calculatedColumnFormula>
    </tableColumn>
    <tableColumn id="44" xr3:uid="{BF96E5D2-2706-4BA2-8325-C5AFB0216E6D}" name="Notes / Rationa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328004-FC5F-40B0-90FA-B2DA57803028}">
  <we:reference id="cba9fc06-6fc9-492e-9525-923870a3b909" version="2.0.0.0" store="EXCatalog" storeType="EXCatalog"/>
  <we:alternateReferences>
    <we:reference id="WA200010215" version="2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BCE5-7310-4AC7-B4A3-9F8D96859F4B}">
  <dimension ref="B1:P115"/>
  <sheetViews>
    <sheetView tabSelected="1" zoomScale="70" zoomScaleNormal="70" workbookViewId="0">
      <selection activeCell="C18" sqref="C18"/>
    </sheetView>
  </sheetViews>
  <sheetFormatPr defaultRowHeight="14.5" outlineLevelRow="1" x14ac:dyDescent="0.35"/>
  <cols>
    <col min="2" max="2" width="41.1796875" bestFit="1" customWidth="1"/>
    <col min="3" max="3" width="31.453125" bestFit="1" customWidth="1"/>
    <col min="4" max="4" width="28.6328125" bestFit="1" customWidth="1"/>
    <col min="5" max="5" width="30.26953125" bestFit="1" customWidth="1"/>
    <col min="6" max="6" width="79.1796875" bestFit="1" customWidth="1"/>
    <col min="7" max="7" width="27.54296875" hidden="1" customWidth="1"/>
    <col min="8" max="8" width="30.453125" hidden="1" customWidth="1"/>
    <col min="12" max="12" width="29.1796875" customWidth="1"/>
    <col min="13" max="13" width="13.36328125" bestFit="1" customWidth="1"/>
    <col min="14" max="15" width="13.7265625" bestFit="1" customWidth="1"/>
    <col min="16" max="16" width="25.54296875" bestFit="1" customWidth="1"/>
  </cols>
  <sheetData>
    <row r="1" spans="2:8" ht="23.5" x14ac:dyDescent="0.55000000000000004">
      <c r="B1" s="57" t="s">
        <v>95</v>
      </c>
    </row>
    <row r="2" spans="2:8" ht="23.5" x14ac:dyDescent="0.55000000000000004">
      <c r="B2" s="57"/>
    </row>
    <row r="3" spans="2:8" x14ac:dyDescent="0.35">
      <c r="B3" s="2" t="s">
        <v>72</v>
      </c>
      <c r="C3" s="2"/>
      <c r="D3" s="2"/>
      <c r="E3" s="2"/>
      <c r="F3" s="2"/>
      <c r="G3" s="2"/>
      <c r="H3" s="2"/>
    </row>
    <row r="4" spans="2:8" s="8" customFormat="1" x14ac:dyDescent="0.35">
      <c r="B4" s="10"/>
      <c r="C4" s="10">
        <v>2026</v>
      </c>
      <c r="D4" s="10">
        <v>2027</v>
      </c>
      <c r="E4" s="10">
        <v>2028</v>
      </c>
      <c r="F4" s="10">
        <v>2029</v>
      </c>
      <c r="G4" s="10" t="s">
        <v>60</v>
      </c>
      <c r="H4" s="10" t="s">
        <v>61</v>
      </c>
    </row>
    <row r="5" spans="2:8" outlineLevel="1" x14ac:dyDescent="0.35">
      <c r="B5" s="9" t="s">
        <v>118</v>
      </c>
      <c r="C5" s="14">
        <f t="shared" ref="C5:D13" si="0">C43+C81</f>
        <v>11677112</v>
      </c>
      <c r="D5" s="14">
        <f t="shared" si="0"/>
        <v>12353631</v>
      </c>
      <c r="E5" s="14">
        <f t="shared" ref="E5:F13" si="1">E43+E81</f>
        <v>12353631</v>
      </c>
      <c r="F5" s="14">
        <f t="shared" si="1"/>
        <v>12353631</v>
      </c>
      <c r="G5" s="14">
        <f>D5-C5</f>
        <v>676519</v>
      </c>
      <c r="H5" s="22">
        <f>D5/C5-1</f>
        <v>5.7935472401052568E-2</v>
      </c>
    </row>
    <row r="6" spans="2:8" outlineLevel="1" x14ac:dyDescent="0.35">
      <c r="B6" s="9" t="s">
        <v>57</v>
      </c>
      <c r="C6" s="14">
        <f t="shared" si="0"/>
        <v>2316552</v>
      </c>
      <c r="D6" s="14">
        <f t="shared" si="0"/>
        <v>2450762.5344616035</v>
      </c>
      <c r="E6" s="14">
        <f t="shared" si="1"/>
        <v>2450762.5344616035</v>
      </c>
      <c r="F6" s="14">
        <f t="shared" si="1"/>
        <v>2450762.5344616035</v>
      </c>
      <c r="G6" s="14">
        <f t="shared" ref="G6:G12" si="2">D6-C6</f>
        <v>134210.5344616035</v>
      </c>
      <c r="H6" s="22">
        <f t="shared" ref="H6:H12" si="3">D6/C6-1</f>
        <v>5.793547240105279E-2</v>
      </c>
    </row>
    <row r="7" spans="2:8" outlineLevel="1" x14ac:dyDescent="0.35">
      <c r="B7" s="9" t="s">
        <v>58</v>
      </c>
      <c r="C7" s="14">
        <f t="shared" si="0"/>
        <v>4466769.9239999996</v>
      </c>
      <c r="D7" s="14">
        <f t="shared" si="0"/>
        <v>4466769.9239999996</v>
      </c>
      <c r="E7" s="14">
        <f t="shared" si="1"/>
        <v>4466769.9239999996</v>
      </c>
      <c r="F7" s="14">
        <f t="shared" si="1"/>
        <v>4466769.9239999996</v>
      </c>
      <c r="G7" s="14">
        <f t="shared" si="2"/>
        <v>0</v>
      </c>
      <c r="H7" s="22">
        <f t="shared" si="3"/>
        <v>0</v>
      </c>
    </row>
    <row r="8" spans="2:8" outlineLevel="1" x14ac:dyDescent="0.35">
      <c r="B8" s="9" t="s">
        <v>48</v>
      </c>
      <c r="C8" s="14">
        <f t="shared" si="0"/>
        <v>1500352</v>
      </c>
      <c r="D8" s="14">
        <f t="shared" si="0"/>
        <v>1587275.6018878638</v>
      </c>
      <c r="E8" s="14">
        <f t="shared" si="1"/>
        <v>1587275.6018878638</v>
      </c>
      <c r="F8" s="14">
        <f t="shared" si="1"/>
        <v>1587275.6018878638</v>
      </c>
      <c r="G8" s="14">
        <f t="shared" si="2"/>
        <v>86923.601887863828</v>
      </c>
      <c r="H8" s="22">
        <f t="shared" si="3"/>
        <v>5.7935472401052346E-2</v>
      </c>
    </row>
    <row r="9" spans="2:8" outlineLevel="1" x14ac:dyDescent="0.35">
      <c r="B9" s="9" t="s">
        <v>49</v>
      </c>
      <c r="C9" s="14">
        <f t="shared" si="0"/>
        <v>1806053</v>
      </c>
      <c r="D9" s="14">
        <f t="shared" si="0"/>
        <v>1910687.5337363381</v>
      </c>
      <c r="E9" s="14">
        <f t="shared" si="1"/>
        <v>1910687.5337363381</v>
      </c>
      <c r="F9" s="14">
        <f t="shared" si="1"/>
        <v>1910687.5337363381</v>
      </c>
      <c r="G9" s="14">
        <f t="shared" si="2"/>
        <v>104634.53373633814</v>
      </c>
      <c r="H9" s="22">
        <f t="shared" si="3"/>
        <v>5.7935472401052568E-2</v>
      </c>
    </row>
    <row r="10" spans="2:8" outlineLevel="1" x14ac:dyDescent="0.35">
      <c r="B10" s="9" t="s">
        <v>50</v>
      </c>
      <c r="C10" s="14">
        <f t="shared" si="0"/>
        <v>127917</v>
      </c>
      <c r="D10" s="14">
        <f t="shared" si="0"/>
        <v>135327.93182312543</v>
      </c>
      <c r="E10" s="14">
        <f t="shared" si="1"/>
        <v>135327.93182312543</v>
      </c>
      <c r="F10" s="14">
        <f t="shared" si="1"/>
        <v>135327.93182312543</v>
      </c>
      <c r="G10" s="14">
        <f t="shared" si="2"/>
        <v>7410.9318231254292</v>
      </c>
      <c r="H10" s="22">
        <f t="shared" si="3"/>
        <v>5.7935472401052568E-2</v>
      </c>
    </row>
    <row r="11" spans="2:8" outlineLevel="1" x14ac:dyDescent="0.35">
      <c r="B11" s="9" t="s">
        <v>51</v>
      </c>
      <c r="C11" s="14">
        <f t="shared" si="0"/>
        <v>50</v>
      </c>
      <c r="D11" s="14">
        <f t="shared" si="0"/>
        <v>52.896773620052628</v>
      </c>
      <c r="E11" s="14">
        <f t="shared" si="1"/>
        <v>52.896773620052628</v>
      </c>
      <c r="F11" s="14">
        <f t="shared" si="1"/>
        <v>52.896773620052628</v>
      </c>
      <c r="G11" s="14">
        <f t="shared" si="2"/>
        <v>2.8967736200526275</v>
      </c>
      <c r="H11" s="22">
        <f t="shared" si="3"/>
        <v>5.7935472401052568E-2</v>
      </c>
    </row>
    <row r="12" spans="2:8" outlineLevel="1" x14ac:dyDescent="0.35">
      <c r="B12" s="9" t="s">
        <v>59</v>
      </c>
      <c r="C12" s="14">
        <f t="shared" si="0"/>
        <v>798527.1605</v>
      </c>
      <c r="D12" s="14">
        <f t="shared" si="0"/>
        <v>798527.1605</v>
      </c>
      <c r="E12" s="14">
        <f t="shared" si="1"/>
        <v>798527.1605</v>
      </c>
      <c r="F12" s="14">
        <f t="shared" si="1"/>
        <v>798527.1605</v>
      </c>
      <c r="G12" s="14">
        <f t="shared" si="2"/>
        <v>0</v>
      </c>
      <c r="H12" s="22">
        <f t="shared" si="3"/>
        <v>0</v>
      </c>
    </row>
    <row r="13" spans="2:8" outlineLevel="1" x14ac:dyDescent="0.35">
      <c r="B13" s="9" t="s">
        <v>76</v>
      </c>
      <c r="C13" s="14">
        <f t="shared" si="0"/>
        <v>1515941.79</v>
      </c>
      <c r="D13" s="14">
        <f t="shared" si="0"/>
        <v>1714334.9892866379</v>
      </c>
      <c r="E13" s="14">
        <f t="shared" si="1"/>
        <v>1714334.9892866379</v>
      </c>
      <c r="F13" s="14">
        <f t="shared" si="1"/>
        <v>1714334.9892866379</v>
      </c>
      <c r="G13" s="14">
        <f t="shared" ref="G13" si="4">D13-C13</f>
        <v>198393.19928663783</v>
      </c>
      <c r="H13" s="22">
        <f t="shared" ref="H13" si="5">D13/C13-1</f>
        <v>0.13087125151859413</v>
      </c>
    </row>
    <row r="14" spans="2:8" s="1" customFormat="1" x14ac:dyDescent="0.35">
      <c r="B14" s="11" t="s">
        <v>35</v>
      </c>
      <c r="C14" s="15">
        <f>SUM(C5:C13)</f>
        <v>24209274.874499999</v>
      </c>
      <c r="D14" s="15">
        <f>SUM(D5:D13)</f>
        <v>25417369.57246919</v>
      </c>
      <c r="E14" s="15">
        <f>SUM(E5:E13)</f>
        <v>25417369.57246919</v>
      </c>
      <c r="F14" s="15">
        <f>SUM(F5:F13)</f>
        <v>25417369.57246919</v>
      </c>
      <c r="G14" s="15">
        <f>SUM(G5:G13)</f>
        <v>1208094.6979691889</v>
      </c>
      <c r="H14" s="23">
        <f>D14/C14-1</f>
        <v>4.9902143051863801E-2</v>
      </c>
    </row>
    <row r="15" spans="2:8" x14ac:dyDescent="0.35">
      <c r="B15" s="9"/>
      <c r="C15" s="16"/>
      <c r="D15" s="16"/>
      <c r="E15" s="16"/>
      <c r="F15" s="16"/>
      <c r="G15" s="16"/>
      <c r="H15" s="24"/>
    </row>
    <row r="16" spans="2:8" outlineLevel="1" x14ac:dyDescent="0.35">
      <c r="B16" s="9" t="s">
        <v>62</v>
      </c>
      <c r="C16" s="14">
        <f>C54+C92</f>
        <v>800690.00699999998</v>
      </c>
      <c r="D16" s="14">
        <f>D54+D92</f>
        <v>800690.00699999998</v>
      </c>
      <c r="E16" s="14">
        <f>E54+E92</f>
        <v>800690.00699999998</v>
      </c>
      <c r="F16" s="14">
        <f>F54+F92</f>
        <v>800690.00699999998</v>
      </c>
      <c r="G16" s="14">
        <f t="shared" ref="G16" si="6">D16-C16</f>
        <v>0</v>
      </c>
      <c r="H16" s="22">
        <f t="shared" ref="H16" si="7">IFERROR(D16/C16-1,0)</f>
        <v>0</v>
      </c>
    </row>
    <row r="17" spans="2:16" outlineLevel="1" x14ac:dyDescent="0.35">
      <c r="B17" s="9" t="s">
        <v>96</v>
      </c>
      <c r="C17" s="14">
        <f t="shared" ref="C17:D17" si="8">C55+C93</f>
        <v>0</v>
      </c>
      <c r="D17" s="14">
        <f t="shared" si="8"/>
        <v>0</v>
      </c>
      <c r="E17" s="14">
        <f t="shared" ref="E17:F36" si="9">E55+E93</f>
        <v>0</v>
      </c>
      <c r="F17" s="14">
        <f t="shared" si="9"/>
        <v>0</v>
      </c>
      <c r="G17" s="14">
        <f t="shared" ref="G17:G36" si="10">D17-C17</f>
        <v>0</v>
      </c>
      <c r="H17" s="22">
        <f t="shared" ref="H17:H36" si="11">IFERROR(D17/C17-1,0)</f>
        <v>0</v>
      </c>
    </row>
    <row r="18" spans="2:16" outlineLevel="1" x14ac:dyDescent="0.35">
      <c r="B18" s="9" t="s">
        <v>63</v>
      </c>
      <c r="C18" s="14">
        <f t="shared" ref="C18:D18" si="12">C56+C94</f>
        <v>9004.2199999999993</v>
      </c>
      <c r="D18" s="14">
        <f t="shared" si="12"/>
        <v>9004.2199999999993</v>
      </c>
      <c r="E18" s="14">
        <f t="shared" si="9"/>
        <v>9004.2199999999993</v>
      </c>
      <c r="F18" s="14">
        <f t="shared" si="9"/>
        <v>9004.2199999999993</v>
      </c>
      <c r="G18" s="14">
        <f t="shared" si="10"/>
        <v>0</v>
      </c>
      <c r="H18" s="22">
        <f t="shared" si="11"/>
        <v>0</v>
      </c>
    </row>
    <row r="19" spans="2:16" outlineLevel="1" x14ac:dyDescent="0.35">
      <c r="B19" s="9" t="s">
        <v>64</v>
      </c>
      <c r="C19" s="14">
        <f t="shared" ref="C19:D19" si="13">C57+C95</f>
        <v>49202.28</v>
      </c>
      <c r="D19" s="14">
        <f t="shared" si="13"/>
        <v>49202.28</v>
      </c>
      <c r="E19" s="14">
        <f t="shared" si="9"/>
        <v>49202.28</v>
      </c>
      <c r="F19" s="14">
        <f t="shared" si="9"/>
        <v>49202.28</v>
      </c>
      <c r="G19" s="14">
        <f t="shared" si="10"/>
        <v>0</v>
      </c>
      <c r="H19" s="22">
        <f t="shared" si="11"/>
        <v>0</v>
      </c>
    </row>
    <row r="20" spans="2:16" outlineLevel="1" x14ac:dyDescent="0.35">
      <c r="B20" s="9" t="s">
        <v>65</v>
      </c>
      <c r="C20" s="14">
        <f t="shared" ref="C20:D20" si="14">C58+C96</f>
        <v>36685.949999999997</v>
      </c>
      <c r="D20" s="14">
        <f t="shared" si="14"/>
        <v>36685.949999999997</v>
      </c>
      <c r="E20" s="14">
        <f t="shared" si="9"/>
        <v>36685.949999999997</v>
      </c>
      <c r="F20" s="14">
        <f t="shared" si="9"/>
        <v>36685.949999999997</v>
      </c>
      <c r="G20" s="14">
        <f t="shared" si="10"/>
        <v>0</v>
      </c>
      <c r="H20" s="22">
        <f t="shared" si="11"/>
        <v>0</v>
      </c>
    </row>
    <row r="21" spans="2:16" outlineLevel="1" x14ac:dyDescent="0.35">
      <c r="B21" s="9" t="s">
        <v>66</v>
      </c>
      <c r="C21" s="14">
        <f t="shared" ref="C21:D21" si="15">C59+C97</f>
        <v>1380796.74</v>
      </c>
      <c r="D21" s="14">
        <f t="shared" si="15"/>
        <v>1380796.74</v>
      </c>
      <c r="E21" s="14">
        <f t="shared" si="9"/>
        <v>1380796.74</v>
      </c>
      <c r="F21" s="14">
        <f t="shared" si="9"/>
        <v>1380796.74</v>
      </c>
      <c r="G21" s="14">
        <f t="shared" si="10"/>
        <v>0</v>
      </c>
      <c r="H21" s="22">
        <f t="shared" si="11"/>
        <v>0</v>
      </c>
    </row>
    <row r="22" spans="2:16" outlineLevel="1" x14ac:dyDescent="0.35">
      <c r="B22" s="9" t="s">
        <v>67</v>
      </c>
      <c r="C22" s="14">
        <f t="shared" ref="C22:D22" si="16">C60+C98</f>
        <v>49427.32</v>
      </c>
      <c r="D22" s="14">
        <f t="shared" si="16"/>
        <v>49427.32</v>
      </c>
      <c r="E22" s="14">
        <f t="shared" si="9"/>
        <v>49427.32</v>
      </c>
      <c r="F22" s="14">
        <f t="shared" si="9"/>
        <v>49427.32</v>
      </c>
      <c r="G22" s="14">
        <f t="shared" si="10"/>
        <v>0</v>
      </c>
      <c r="H22" s="22">
        <f t="shared" si="11"/>
        <v>0</v>
      </c>
    </row>
    <row r="23" spans="2:16" outlineLevel="1" x14ac:dyDescent="0.35">
      <c r="B23" s="9" t="s">
        <v>97</v>
      </c>
      <c r="C23" s="14">
        <f t="shared" ref="C23:D23" si="17">C61+C99</f>
        <v>0</v>
      </c>
      <c r="D23" s="14">
        <f t="shared" si="17"/>
        <v>0</v>
      </c>
      <c r="E23" s="14">
        <f t="shared" si="9"/>
        <v>0</v>
      </c>
      <c r="F23" s="14">
        <f t="shared" si="9"/>
        <v>0</v>
      </c>
      <c r="G23" s="14">
        <f t="shared" si="10"/>
        <v>0</v>
      </c>
      <c r="H23" s="22">
        <f t="shared" si="11"/>
        <v>0</v>
      </c>
    </row>
    <row r="24" spans="2:16" outlineLevel="1" x14ac:dyDescent="0.35">
      <c r="B24" s="9" t="s">
        <v>68</v>
      </c>
      <c r="C24" s="14">
        <f t="shared" ref="C24:D24" si="18">C62+C100</f>
        <v>0</v>
      </c>
      <c r="D24" s="14">
        <f t="shared" si="18"/>
        <v>0</v>
      </c>
      <c r="E24" s="14">
        <f t="shared" si="9"/>
        <v>0</v>
      </c>
      <c r="F24" s="14">
        <f t="shared" si="9"/>
        <v>0</v>
      </c>
      <c r="G24" s="14">
        <f t="shared" si="10"/>
        <v>0</v>
      </c>
      <c r="H24" s="22">
        <f t="shared" si="11"/>
        <v>0</v>
      </c>
    </row>
    <row r="25" spans="2:16" outlineLevel="1" x14ac:dyDescent="0.35">
      <c r="B25" s="9" t="s">
        <v>69</v>
      </c>
      <c r="C25" s="14">
        <f t="shared" ref="C25:D25" si="19">C63+C101</f>
        <v>40000.92</v>
      </c>
      <c r="D25" s="14">
        <f t="shared" si="19"/>
        <v>40000.92</v>
      </c>
      <c r="E25" s="14">
        <f t="shared" si="9"/>
        <v>40000.92</v>
      </c>
      <c r="F25" s="14">
        <f t="shared" si="9"/>
        <v>40000.92</v>
      </c>
      <c r="G25" s="14">
        <f t="shared" si="10"/>
        <v>0</v>
      </c>
      <c r="H25" s="22">
        <f t="shared" si="11"/>
        <v>0</v>
      </c>
    </row>
    <row r="26" spans="2:16" s="1" customFormat="1" outlineLevel="1" x14ac:dyDescent="0.35">
      <c r="B26" s="9" t="s">
        <v>70</v>
      </c>
      <c r="C26" s="14">
        <f t="shared" ref="C26:D26" si="20">C64+C102</f>
        <v>39685.129999999997</v>
      </c>
      <c r="D26" s="14">
        <f t="shared" si="20"/>
        <v>39685.129999999997</v>
      </c>
      <c r="E26" s="14">
        <f t="shared" si="9"/>
        <v>39685.129999999997</v>
      </c>
      <c r="F26" s="14">
        <f t="shared" si="9"/>
        <v>39685.129999999997</v>
      </c>
      <c r="G26" s="14">
        <f t="shared" si="10"/>
        <v>0</v>
      </c>
      <c r="H26" s="22">
        <f t="shared" si="11"/>
        <v>0</v>
      </c>
      <c r="L26"/>
      <c r="M26"/>
      <c r="N26"/>
      <c r="O26"/>
      <c r="P26"/>
    </row>
    <row r="27" spans="2:16" s="1" customFormat="1" outlineLevel="1" x14ac:dyDescent="0.35">
      <c r="B27" s="9" t="s">
        <v>98</v>
      </c>
      <c r="C27" s="14">
        <f t="shared" ref="C27:D27" si="21">C65+C103</f>
        <v>0</v>
      </c>
      <c r="D27" s="14">
        <f t="shared" si="21"/>
        <v>0</v>
      </c>
      <c r="E27" s="14">
        <f t="shared" si="9"/>
        <v>0</v>
      </c>
      <c r="F27" s="14">
        <f t="shared" si="9"/>
        <v>0</v>
      </c>
      <c r="G27" s="14">
        <f t="shared" si="10"/>
        <v>0</v>
      </c>
      <c r="H27" s="22">
        <f t="shared" si="11"/>
        <v>0</v>
      </c>
      <c r="L27"/>
      <c r="M27"/>
      <c r="N27"/>
      <c r="O27"/>
      <c r="P27"/>
    </row>
    <row r="28" spans="2:16" s="1" customFormat="1" outlineLevel="1" x14ac:dyDescent="0.35">
      <c r="B28" s="9" t="s">
        <v>99</v>
      </c>
      <c r="C28" s="14">
        <f t="shared" ref="C28:D28" si="22">C66+C104</f>
        <v>0</v>
      </c>
      <c r="D28" s="14">
        <f t="shared" si="22"/>
        <v>0</v>
      </c>
      <c r="E28" s="14">
        <f t="shared" si="9"/>
        <v>0</v>
      </c>
      <c r="F28" s="14">
        <f t="shared" si="9"/>
        <v>0</v>
      </c>
      <c r="G28" s="14">
        <f t="shared" si="10"/>
        <v>0</v>
      </c>
      <c r="H28" s="22">
        <f t="shared" si="11"/>
        <v>0</v>
      </c>
      <c r="L28"/>
      <c r="M28"/>
      <c r="N28"/>
      <c r="O28"/>
      <c r="P28"/>
    </row>
    <row r="29" spans="2:16" s="1" customFormat="1" outlineLevel="1" x14ac:dyDescent="0.35">
      <c r="B29" s="9" t="s">
        <v>100</v>
      </c>
      <c r="C29" s="14">
        <f t="shared" ref="C29:D29" si="23">C67+C105</f>
        <v>0</v>
      </c>
      <c r="D29" s="14">
        <f t="shared" si="23"/>
        <v>0</v>
      </c>
      <c r="E29" s="14">
        <f t="shared" si="9"/>
        <v>0</v>
      </c>
      <c r="F29" s="14">
        <f t="shared" si="9"/>
        <v>0</v>
      </c>
      <c r="G29" s="14">
        <f t="shared" si="10"/>
        <v>0</v>
      </c>
      <c r="H29" s="22">
        <f t="shared" si="11"/>
        <v>0</v>
      </c>
      <c r="L29"/>
      <c r="M29"/>
      <c r="N29"/>
      <c r="O29"/>
      <c r="P29"/>
    </row>
    <row r="30" spans="2:16" s="1" customFormat="1" outlineLevel="1" x14ac:dyDescent="0.35">
      <c r="B30" s="9" t="s">
        <v>101</v>
      </c>
      <c r="C30" s="14">
        <f t="shared" ref="C30:D30" si="24">C68+C106</f>
        <v>0</v>
      </c>
      <c r="D30" s="14">
        <f t="shared" si="24"/>
        <v>0</v>
      </c>
      <c r="E30" s="14">
        <f t="shared" si="9"/>
        <v>0</v>
      </c>
      <c r="F30" s="14">
        <f t="shared" si="9"/>
        <v>0</v>
      </c>
      <c r="G30" s="14">
        <f t="shared" si="10"/>
        <v>0</v>
      </c>
      <c r="H30" s="22">
        <f t="shared" si="11"/>
        <v>0</v>
      </c>
      <c r="L30"/>
      <c r="M30"/>
      <c r="N30"/>
      <c r="O30"/>
      <c r="P30"/>
    </row>
    <row r="31" spans="2:16" s="1" customFormat="1" outlineLevel="1" x14ac:dyDescent="0.35">
      <c r="B31" s="9" t="s">
        <v>102</v>
      </c>
      <c r="C31" s="14">
        <f t="shared" ref="C31:D31" si="25">C69+C107</f>
        <v>0</v>
      </c>
      <c r="D31" s="14">
        <f t="shared" si="25"/>
        <v>0</v>
      </c>
      <c r="E31" s="14">
        <f t="shared" si="9"/>
        <v>0</v>
      </c>
      <c r="F31" s="14">
        <f t="shared" si="9"/>
        <v>0</v>
      </c>
      <c r="G31" s="14">
        <f t="shared" si="10"/>
        <v>0</v>
      </c>
      <c r="H31" s="22">
        <f t="shared" si="11"/>
        <v>0</v>
      </c>
      <c r="L31"/>
      <c r="M31"/>
      <c r="N31"/>
      <c r="O31"/>
      <c r="P31"/>
    </row>
    <row r="32" spans="2:16" s="1" customFormat="1" outlineLevel="1" x14ac:dyDescent="0.35">
      <c r="B32" s="9" t="s">
        <v>103</v>
      </c>
      <c r="C32" s="14">
        <f t="shared" ref="C32:D32" si="26">C70+C108</f>
        <v>0</v>
      </c>
      <c r="D32" s="14">
        <f t="shared" si="26"/>
        <v>0</v>
      </c>
      <c r="E32" s="14">
        <f t="shared" si="9"/>
        <v>0</v>
      </c>
      <c r="F32" s="14">
        <f t="shared" si="9"/>
        <v>0</v>
      </c>
      <c r="G32" s="14">
        <f t="shared" si="10"/>
        <v>0</v>
      </c>
      <c r="H32" s="22">
        <f t="shared" si="11"/>
        <v>0</v>
      </c>
      <c r="L32"/>
      <c r="M32"/>
      <c r="N32"/>
      <c r="O32"/>
      <c r="P32"/>
    </row>
    <row r="33" spans="2:16" outlineLevel="1" x14ac:dyDescent="0.35">
      <c r="B33" s="9" t="s">
        <v>51</v>
      </c>
      <c r="C33" s="14">
        <f t="shared" ref="C33:D33" si="27">C71+C109</f>
        <v>0.34</v>
      </c>
      <c r="D33" s="14">
        <f t="shared" si="27"/>
        <v>0.34</v>
      </c>
      <c r="E33" s="14">
        <f t="shared" si="9"/>
        <v>0.34</v>
      </c>
      <c r="F33" s="14">
        <f t="shared" si="9"/>
        <v>0.34</v>
      </c>
      <c r="G33" s="14">
        <f t="shared" si="10"/>
        <v>0</v>
      </c>
      <c r="H33" s="22">
        <f t="shared" si="11"/>
        <v>0</v>
      </c>
    </row>
    <row r="34" spans="2:16" outlineLevel="1" x14ac:dyDescent="0.35">
      <c r="B34" s="9" t="s">
        <v>104</v>
      </c>
      <c r="C34" s="14">
        <f t="shared" ref="C34:D34" si="28">C72+C110</f>
        <v>0</v>
      </c>
      <c r="D34" s="14">
        <f t="shared" si="28"/>
        <v>0</v>
      </c>
      <c r="E34" s="14">
        <f t="shared" si="9"/>
        <v>0</v>
      </c>
      <c r="F34" s="14">
        <f t="shared" si="9"/>
        <v>0</v>
      </c>
      <c r="G34" s="14">
        <f t="shared" si="10"/>
        <v>0</v>
      </c>
      <c r="H34" s="22">
        <f t="shared" si="11"/>
        <v>0</v>
      </c>
    </row>
    <row r="35" spans="2:16" outlineLevel="1" x14ac:dyDescent="0.35">
      <c r="B35" s="9" t="s">
        <v>105</v>
      </c>
      <c r="C35" s="14">
        <f t="shared" ref="C35:D35" si="29">C73+C111</f>
        <v>0</v>
      </c>
      <c r="D35" s="14">
        <f t="shared" si="29"/>
        <v>0</v>
      </c>
      <c r="E35" s="14">
        <f t="shared" si="9"/>
        <v>0</v>
      </c>
      <c r="F35" s="14">
        <f t="shared" si="9"/>
        <v>0</v>
      </c>
      <c r="G35" s="14">
        <f t="shared" si="10"/>
        <v>0</v>
      </c>
      <c r="H35" s="22">
        <f t="shared" si="11"/>
        <v>0</v>
      </c>
    </row>
    <row r="36" spans="2:16" outlineLevel="1" x14ac:dyDescent="0.35">
      <c r="B36" s="9" t="s">
        <v>106</v>
      </c>
      <c r="C36" s="14">
        <f t="shared" ref="C36:D36" si="30">C74+C112</f>
        <v>0</v>
      </c>
      <c r="D36" s="14">
        <f t="shared" si="30"/>
        <v>0</v>
      </c>
      <c r="E36" s="14">
        <f t="shared" si="9"/>
        <v>0</v>
      </c>
      <c r="F36" s="14">
        <f t="shared" si="9"/>
        <v>0</v>
      </c>
      <c r="G36" s="14">
        <f t="shared" si="10"/>
        <v>0</v>
      </c>
      <c r="H36" s="22">
        <f t="shared" si="11"/>
        <v>0</v>
      </c>
    </row>
    <row r="37" spans="2:16" x14ac:dyDescent="0.35">
      <c r="B37" s="11" t="s">
        <v>30</v>
      </c>
      <c r="C37" s="15">
        <f>SUM(C16:C36)</f>
        <v>2405492.9069999992</v>
      </c>
      <c r="D37" s="15">
        <f>SUM(D16:D36)</f>
        <v>2405492.9069999992</v>
      </c>
      <c r="E37" s="15">
        <f>SUM(E16:E36)</f>
        <v>2405492.9069999992</v>
      </c>
      <c r="F37" s="15">
        <f>SUM(F16:F36)</f>
        <v>2405492.9069999992</v>
      </c>
      <c r="G37" s="15">
        <f>SUM(G16:G36)</f>
        <v>0</v>
      </c>
      <c r="H37" s="23">
        <f>IFERROR(D37/C37-1,0)</f>
        <v>0</v>
      </c>
    </row>
    <row r="38" spans="2:16" x14ac:dyDescent="0.35">
      <c r="B38" s="9"/>
      <c r="C38" s="17"/>
      <c r="D38" s="17"/>
      <c r="E38" s="17"/>
      <c r="F38" s="17"/>
      <c r="G38" s="17"/>
      <c r="H38" s="25"/>
    </row>
    <row r="39" spans="2:16" x14ac:dyDescent="0.35">
      <c r="B39" s="13" t="s">
        <v>72</v>
      </c>
      <c r="C39" s="18">
        <f>C14+C37</f>
        <v>26614767.781499997</v>
      </c>
      <c r="D39" s="18">
        <f>D14+D37</f>
        <v>27822862.479469188</v>
      </c>
      <c r="E39" s="18">
        <f>E14+E37</f>
        <v>27822862.479469188</v>
      </c>
      <c r="F39" s="18">
        <f>F14+F37</f>
        <v>27822862.479469188</v>
      </c>
      <c r="G39" s="18">
        <f>G14+G37</f>
        <v>1208094.6979691889</v>
      </c>
      <c r="H39" s="26">
        <f>IFERROR(D39/C39-1,0)</f>
        <v>4.5391893248414528E-2</v>
      </c>
    </row>
    <row r="40" spans="2:16" x14ac:dyDescent="0.35">
      <c r="B40" s="9"/>
      <c r="C40" s="17"/>
      <c r="D40" s="17"/>
      <c r="E40" s="17"/>
      <c r="F40" s="17"/>
      <c r="G40" s="17"/>
      <c r="H40" s="25"/>
    </row>
    <row r="41" spans="2:16" x14ac:dyDescent="0.35">
      <c r="B41" s="2" t="s">
        <v>71</v>
      </c>
      <c r="C41" s="19"/>
      <c r="D41" s="19"/>
      <c r="E41" s="19"/>
      <c r="F41" s="19"/>
      <c r="G41" s="19"/>
      <c r="H41" s="27"/>
    </row>
    <row r="42" spans="2:16" s="8" customFormat="1" x14ac:dyDescent="0.35">
      <c r="B42" s="10"/>
      <c r="C42" s="10">
        <v>2026</v>
      </c>
      <c r="D42" s="10">
        <v>2027</v>
      </c>
      <c r="E42" s="10">
        <v>2028</v>
      </c>
      <c r="F42" s="10">
        <v>2029</v>
      </c>
      <c r="G42" s="10" t="s">
        <v>60</v>
      </c>
      <c r="H42" s="10" t="s">
        <v>61</v>
      </c>
    </row>
    <row r="43" spans="2:16" outlineLevel="1" x14ac:dyDescent="0.35">
      <c r="B43" s="9" t="s">
        <v>118</v>
      </c>
      <c r="C43" s="14">
        <f>SUMIFS('Base - Payroll'!$E:$E,'Base - Payroll'!$A:$A,Summary!$B43)</f>
        <v>11677112</v>
      </c>
      <c r="D43" s="14">
        <f>SUMIFS('Base - Payroll'!$G:$G,'Base - Payroll'!$A:$A,Summary!$B43)</f>
        <v>12353631</v>
      </c>
      <c r="E43" s="14">
        <f>SUMIFS('Base - Payroll'!$H:$H,'Base - Payroll'!$A:$A,Summary!$B43)</f>
        <v>12353631</v>
      </c>
      <c r="F43" s="14">
        <f>SUMIFS('Base - Payroll'!$I:$I,'Base - Payroll'!$A:$A,Summary!$B43)</f>
        <v>12353631</v>
      </c>
      <c r="G43" s="14">
        <f>D43-C43</f>
        <v>676519</v>
      </c>
      <c r="H43" s="22">
        <f>IFERROR(D43/C43-1,0)</f>
        <v>5.7935472401052568E-2</v>
      </c>
    </row>
    <row r="44" spans="2:16" outlineLevel="1" x14ac:dyDescent="0.35">
      <c r="B44" s="9" t="s">
        <v>57</v>
      </c>
      <c r="C44" s="14">
        <f>SUMIFS('Base - Payroll'!$E:$E,'Base - Payroll'!$A:$A,Summary!$B44)</f>
        <v>2316552</v>
      </c>
      <c r="D44" s="14">
        <f>SUMIFS('Base - Payroll'!$G:$G,'Base - Payroll'!$A:$A,Summary!$B44)</f>
        <v>2450762.5344616035</v>
      </c>
      <c r="E44" s="14">
        <f>SUMIFS('Base - Payroll'!$H:$H,'Base - Payroll'!$A:$A,Summary!$B44)</f>
        <v>2450762.5344616035</v>
      </c>
      <c r="F44" s="14">
        <f>SUMIFS('Base - Payroll'!$I:$I,'Base - Payroll'!$A:$A,Summary!$B44)</f>
        <v>2450762.5344616035</v>
      </c>
      <c r="G44" s="14">
        <f t="shared" ref="G44:G50" si="31">D44-C44</f>
        <v>134210.5344616035</v>
      </c>
      <c r="H44" s="22">
        <f t="shared" ref="H44:H50" si="32">IFERROR(D44/C44-1,0)</f>
        <v>5.793547240105279E-2</v>
      </c>
    </row>
    <row r="45" spans="2:16" outlineLevel="1" x14ac:dyDescent="0.35">
      <c r="B45" s="9" t="s">
        <v>58</v>
      </c>
      <c r="C45" s="14">
        <f>SUMIFS('Base - Non-Payroll'!$E:$E,'Base - Non-Payroll'!$A:$A,Summary!$B45)</f>
        <v>4466769.9239999996</v>
      </c>
      <c r="D45" s="14">
        <f>'Base - Non-Payroll'!H24</f>
        <v>4466769.9239999996</v>
      </c>
      <c r="E45" s="14">
        <f>'Base - Non-Payroll'!J24</f>
        <v>4466769.9239999996</v>
      </c>
      <c r="F45" s="14">
        <f>'Base - Non-Payroll'!L24</f>
        <v>4466769.9239999996</v>
      </c>
      <c r="G45" s="14">
        <f t="shared" si="31"/>
        <v>0</v>
      </c>
      <c r="H45" s="22">
        <f t="shared" si="32"/>
        <v>0</v>
      </c>
    </row>
    <row r="46" spans="2:16" outlineLevel="1" x14ac:dyDescent="0.35">
      <c r="B46" s="9" t="s">
        <v>48</v>
      </c>
      <c r="C46" s="14">
        <f>SUMIFS('Base - Payroll'!$E:$E,'Base - Payroll'!$A:$A,Summary!$B46)</f>
        <v>1500352</v>
      </c>
      <c r="D46" s="14">
        <f>SUMIFS('Base - Payroll'!$G:$G,'Base - Payroll'!$A:$A,Summary!$B46)</f>
        <v>1587275.6018878638</v>
      </c>
      <c r="E46" s="14">
        <f>SUMIFS('Base - Payroll'!$H:$H,'Base - Payroll'!$A:$A,Summary!$B46)</f>
        <v>1587275.6018878638</v>
      </c>
      <c r="F46" s="14">
        <f>SUMIFS('Base - Payroll'!$I:$I,'Base - Payroll'!$A:$A,Summary!$B46)</f>
        <v>1587275.6018878638</v>
      </c>
      <c r="G46" s="14">
        <f t="shared" si="31"/>
        <v>86923.601887863828</v>
      </c>
      <c r="H46" s="22">
        <f t="shared" si="32"/>
        <v>5.7935472401052346E-2</v>
      </c>
    </row>
    <row r="47" spans="2:16" outlineLevel="1" x14ac:dyDescent="0.35">
      <c r="B47" s="9" t="s">
        <v>49</v>
      </c>
      <c r="C47" s="14">
        <f>SUMIFS('Base - Payroll'!$E:$E,'Base - Payroll'!$A:$A,Summary!$B47)</f>
        <v>1806053</v>
      </c>
      <c r="D47" s="14">
        <f>SUMIFS('Base - Payroll'!$G:$G,'Base - Payroll'!$A:$A,Summary!$B47)</f>
        <v>1910687.5337363381</v>
      </c>
      <c r="E47" s="14">
        <f>SUMIFS('Base - Payroll'!$H:$H,'Base - Payroll'!$A:$A,Summary!$B47)</f>
        <v>1910687.5337363381</v>
      </c>
      <c r="F47" s="14">
        <f>SUMIFS('Base - Payroll'!$I:$I,'Base - Payroll'!$A:$A,Summary!$B47)</f>
        <v>1910687.5337363381</v>
      </c>
      <c r="G47" s="14">
        <f t="shared" si="31"/>
        <v>104634.53373633814</v>
      </c>
      <c r="H47" s="22">
        <f t="shared" si="32"/>
        <v>5.7935472401052568E-2</v>
      </c>
    </row>
    <row r="48" spans="2:16" s="1" customFormat="1" outlineLevel="1" x14ac:dyDescent="0.35">
      <c r="B48" s="9" t="s">
        <v>50</v>
      </c>
      <c r="C48" s="14">
        <f>SUMIFS('Base - Payroll'!$E:$E,'Base - Payroll'!$A:$A,Summary!$B48)</f>
        <v>127917</v>
      </c>
      <c r="D48" s="14">
        <f>SUMIFS('Base - Payroll'!$G:$G,'Base - Payroll'!$A:$A,Summary!$B48)</f>
        <v>135327.93182312543</v>
      </c>
      <c r="E48" s="14">
        <f>SUMIFS('Base - Payroll'!$H:$H,'Base - Payroll'!$A:$A,Summary!$B48)</f>
        <v>135327.93182312543</v>
      </c>
      <c r="F48" s="14">
        <f>SUMIFS('Base - Payroll'!$I:$I,'Base - Payroll'!$A:$A,Summary!$B48)</f>
        <v>135327.93182312543</v>
      </c>
      <c r="G48" s="14">
        <f t="shared" si="31"/>
        <v>7410.9318231254292</v>
      </c>
      <c r="H48" s="22">
        <f t="shared" si="32"/>
        <v>5.7935472401052568E-2</v>
      </c>
      <c r="L48"/>
      <c r="M48"/>
      <c r="N48"/>
      <c r="O48"/>
      <c r="P48"/>
    </row>
    <row r="49" spans="2:16" outlineLevel="1" x14ac:dyDescent="0.35">
      <c r="B49" s="9" t="s">
        <v>51</v>
      </c>
      <c r="C49" s="14">
        <f>SUMIFS('Base - Payroll'!$E:$E,'Base - Payroll'!$A:$A,Summary!$B49)</f>
        <v>50</v>
      </c>
      <c r="D49" s="14">
        <f>SUMIFS('Base - Payroll'!$G:$G,'Base - Payroll'!$A:$A,Summary!$B49)</f>
        <v>52.896773620052628</v>
      </c>
      <c r="E49" s="14">
        <f>SUMIFS('Base - Payroll'!$H:$H,'Base - Payroll'!$A:$A,Summary!$B49)</f>
        <v>52.896773620052628</v>
      </c>
      <c r="F49" s="14">
        <f>SUMIFS('Base - Payroll'!$I:$I,'Base - Payroll'!$A:$A,Summary!$B49)</f>
        <v>52.896773620052628</v>
      </c>
      <c r="G49" s="14">
        <f t="shared" si="31"/>
        <v>2.8967736200526275</v>
      </c>
      <c r="H49" s="22">
        <f t="shared" si="32"/>
        <v>5.7935472401052568E-2</v>
      </c>
    </row>
    <row r="50" spans="2:16" outlineLevel="1" x14ac:dyDescent="0.35">
      <c r="B50" s="9" t="s">
        <v>59</v>
      </c>
      <c r="C50" s="14">
        <f>SUMIFS('Base - Non-Payroll'!$E:$E,'Base - Non-Payroll'!$A:$A,Summary!$B50)</f>
        <v>798527.1605</v>
      </c>
      <c r="D50" s="14">
        <f>'Base - Non-Payroll'!H25</f>
        <v>798527.1605</v>
      </c>
      <c r="E50" s="14">
        <f>'Base - Non-Payroll'!J25</f>
        <v>798527.1605</v>
      </c>
      <c r="F50" s="14">
        <f>'Base - Non-Payroll'!L25</f>
        <v>798527.1605</v>
      </c>
      <c r="G50" s="14">
        <f t="shared" si="31"/>
        <v>0</v>
      </c>
      <c r="H50" s="22">
        <f t="shared" si="32"/>
        <v>0</v>
      </c>
    </row>
    <row r="51" spans="2:16" outlineLevel="1" x14ac:dyDescent="0.35">
      <c r="B51" s="9" t="s">
        <v>76</v>
      </c>
      <c r="C51" s="14">
        <f>SUMIFS('Base - Payroll'!$E:$E,'Base - Payroll'!$A:$A,Summary!$B51)</f>
        <v>1515941.79</v>
      </c>
      <c r="D51" s="14">
        <f>SUMIFS('Base - Payroll'!$G:$G,'Base - Payroll'!$A:$A,Summary!$B51)</f>
        <v>1714334.9892866379</v>
      </c>
      <c r="E51" s="14">
        <f>SUMIFS('Base - Payroll'!$H:$H,'Base - Payroll'!$A:$A,Summary!$B51)</f>
        <v>1714334.9892866379</v>
      </c>
      <c r="F51" s="14">
        <f>SUMIFS('Base - Payroll'!$I:$I,'Base - Payroll'!$A:$A,Summary!$B51)</f>
        <v>1714334.9892866379</v>
      </c>
      <c r="G51" s="14">
        <f t="shared" ref="G51" si="33">D51-C51</f>
        <v>198393.19928663783</v>
      </c>
      <c r="H51" s="22">
        <f t="shared" ref="H51" si="34">IFERROR(D51/C51-1,0)</f>
        <v>0.13087125151859413</v>
      </c>
    </row>
    <row r="52" spans="2:16" x14ac:dyDescent="0.35">
      <c r="B52" s="11" t="s">
        <v>32</v>
      </c>
      <c r="C52" s="15">
        <f>SUM(C43:C51)</f>
        <v>24209274.874499999</v>
      </c>
      <c r="D52" s="15">
        <f>SUM(D43:D51)</f>
        <v>25417369.57246919</v>
      </c>
      <c r="E52" s="15">
        <f>SUM(E43:E51)</f>
        <v>25417369.57246919</v>
      </c>
      <c r="F52" s="15">
        <f>SUM(F43:F51)</f>
        <v>25417369.57246919</v>
      </c>
      <c r="G52" s="15">
        <f>SUM(G43:G51)</f>
        <v>1208094.6979691889</v>
      </c>
      <c r="H52" s="23">
        <f>IFERROR(D52/C52-1,0)</f>
        <v>4.9902143051863801E-2</v>
      </c>
    </row>
    <row r="53" spans="2:16" x14ac:dyDescent="0.35">
      <c r="B53" s="9"/>
      <c r="C53" s="16"/>
      <c r="D53" s="16"/>
      <c r="E53" s="16"/>
      <c r="F53" s="16"/>
      <c r="G53" s="16"/>
      <c r="H53" s="24"/>
    </row>
    <row r="54" spans="2:16" outlineLevel="1" x14ac:dyDescent="0.35">
      <c r="B54" s="9" t="s">
        <v>62</v>
      </c>
      <c r="C54" s="14">
        <f>SUMIFS('Base - Non-Payroll'!$E:$E,'Base - Non-Payroll'!$A:$A,Summary!$B54)</f>
        <v>800690.00699999998</v>
      </c>
      <c r="D54" s="14">
        <f>SUMIFS('Base - Non-Payroll'!$H:$H,'Base - Non-Payroll'!$A:$A,Summary!$B54)</f>
        <v>800690.00699999998</v>
      </c>
      <c r="E54" s="14">
        <f>SUMIFS('Base - Non-Payroll'!$J:$J,'Base - Non-Payroll'!$A:$A,Summary!$B54)</f>
        <v>800690.00699999998</v>
      </c>
      <c r="F54" s="14">
        <f>SUMIFS('Base - Non-Payroll'!$L:$L,'Base - Non-Payroll'!$A:$A,Summary!$B54)</f>
        <v>800690.00699999998</v>
      </c>
      <c r="G54" s="14">
        <f t="shared" ref="G54" si="35">D54-C54</f>
        <v>0</v>
      </c>
      <c r="H54" s="22">
        <f t="shared" ref="H54" si="36">IFERROR(D54/C54-1,0)</f>
        <v>0</v>
      </c>
    </row>
    <row r="55" spans="2:16" outlineLevel="1" x14ac:dyDescent="0.35">
      <c r="B55" s="9" t="s">
        <v>96</v>
      </c>
      <c r="C55" s="14">
        <f>SUMIFS('Base - Non-Payroll'!$E:$E,'Base - Non-Payroll'!$A:$A,Summary!$B55)</f>
        <v>0</v>
      </c>
      <c r="D55" s="14">
        <f>SUMIFS('Base - Non-Payroll'!$H:$H,'Base - Non-Payroll'!$A:$A,Summary!$B55)</f>
        <v>0</v>
      </c>
      <c r="E55" s="14">
        <f>SUMIFS('Base - Non-Payroll'!$J:$J,'Base - Non-Payroll'!$A:$A,Summary!$B55)</f>
        <v>0</v>
      </c>
      <c r="F55" s="14">
        <f>SUMIFS('Base - Non-Payroll'!$L:$L,'Base - Non-Payroll'!$A:$A,Summary!$B55)</f>
        <v>0</v>
      </c>
      <c r="G55" s="14">
        <f t="shared" ref="G55:G74" si="37">D55-C55</f>
        <v>0</v>
      </c>
      <c r="H55" s="22">
        <f t="shared" ref="H55:H74" si="38">IFERROR(D55/C55-1,0)</f>
        <v>0</v>
      </c>
    </row>
    <row r="56" spans="2:16" outlineLevel="1" x14ac:dyDescent="0.35">
      <c r="B56" s="9" t="s">
        <v>63</v>
      </c>
      <c r="C56" s="14">
        <f>SUMIFS('Base - Non-Payroll'!$E:$E,'Base - Non-Payroll'!$A:$A,Summary!$B56)</f>
        <v>9004.2199999999993</v>
      </c>
      <c r="D56" s="14">
        <f>SUMIFS('Base - Non-Payroll'!$H:$H,'Base - Non-Payroll'!$A:$A,Summary!$B56)</f>
        <v>9004.2199999999993</v>
      </c>
      <c r="E56" s="14">
        <f>SUMIFS('Base - Non-Payroll'!$J:$J,'Base - Non-Payroll'!$A:$A,Summary!$B56)</f>
        <v>9004.2199999999993</v>
      </c>
      <c r="F56" s="14">
        <f>SUMIFS('Base - Non-Payroll'!$L:$L,'Base - Non-Payroll'!$A:$A,Summary!$B56)</f>
        <v>9004.2199999999993</v>
      </c>
      <c r="G56" s="14">
        <f t="shared" si="37"/>
        <v>0</v>
      </c>
      <c r="H56" s="22">
        <f t="shared" si="38"/>
        <v>0</v>
      </c>
      <c r="L56" s="1"/>
      <c r="M56" s="6"/>
      <c r="N56" s="6"/>
      <c r="O56" s="6"/>
      <c r="P56" s="7"/>
    </row>
    <row r="57" spans="2:16" outlineLevel="1" x14ac:dyDescent="0.35">
      <c r="B57" s="9" t="s">
        <v>64</v>
      </c>
      <c r="C57" s="14">
        <f>SUMIFS('Base - Non-Payroll'!$E:$E,'Base - Non-Payroll'!$A:$A,Summary!$B57)</f>
        <v>49202.28</v>
      </c>
      <c r="D57" s="14">
        <f>SUMIFS('Base - Non-Payroll'!$H:$H,'Base - Non-Payroll'!$A:$A,Summary!$B57)</f>
        <v>49202.28</v>
      </c>
      <c r="E57" s="14">
        <f>SUMIFS('Base - Non-Payroll'!$J:$J,'Base - Non-Payroll'!$A:$A,Summary!$B57)</f>
        <v>49202.28</v>
      </c>
      <c r="F57" s="14">
        <f>SUMIFS('Base - Non-Payroll'!$L:$L,'Base - Non-Payroll'!$A:$A,Summary!$B57)</f>
        <v>49202.28</v>
      </c>
      <c r="G57" s="14">
        <f t="shared" si="37"/>
        <v>0</v>
      </c>
      <c r="H57" s="22">
        <f t="shared" si="38"/>
        <v>0</v>
      </c>
    </row>
    <row r="58" spans="2:16" outlineLevel="1" x14ac:dyDescent="0.35">
      <c r="B58" s="9" t="s">
        <v>65</v>
      </c>
      <c r="C58" s="14">
        <f>SUMIFS('Base - Non-Payroll'!$E:$E,'Base - Non-Payroll'!$A:$A,Summary!$B58)</f>
        <v>36685.949999999997</v>
      </c>
      <c r="D58" s="14">
        <f>SUMIFS('Base - Non-Payroll'!$H:$H,'Base - Non-Payroll'!$A:$A,Summary!$B58)</f>
        <v>36685.949999999997</v>
      </c>
      <c r="E58" s="14">
        <f>SUMIFS('Base - Non-Payroll'!$J:$J,'Base - Non-Payroll'!$A:$A,Summary!$B58)</f>
        <v>36685.949999999997</v>
      </c>
      <c r="F58" s="14">
        <f>SUMIFS('Base - Non-Payroll'!$L:$L,'Base - Non-Payroll'!$A:$A,Summary!$B58)</f>
        <v>36685.949999999997</v>
      </c>
      <c r="G58" s="14">
        <f t="shared" si="37"/>
        <v>0</v>
      </c>
      <c r="H58" s="22">
        <f t="shared" si="38"/>
        <v>0</v>
      </c>
    </row>
    <row r="59" spans="2:16" outlineLevel="1" x14ac:dyDescent="0.35">
      <c r="B59" s="9" t="s">
        <v>66</v>
      </c>
      <c r="C59" s="14">
        <f>SUMIFS('Base - Non-Payroll'!$E:$E,'Base - Non-Payroll'!$A:$A,Summary!$B59)</f>
        <v>1380796.74</v>
      </c>
      <c r="D59" s="14">
        <f>SUMIFS('Base - Non-Payroll'!$H:$H,'Base - Non-Payroll'!$A:$A,Summary!$B59)</f>
        <v>1380796.74</v>
      </c>
      <c r="E59" s="14">
        <f>SUMIFS('Base - Non-Payroll'!$J:$J,'Base - Non-Payroll'!$A:$A,Summary!$B59)</f>
        <v>1380796.74</v>
      </c>
      <c r="F59" s="14">
        <f>SUMIFS('Base - Non-Payroll'!$L:$L,'Base - Non-Payroll'!$A:$A,Summary!$B59)</f>
        <v>1380796.74</v>
      </c>
      <c r="G59" s="14">
        <f t="shared" si="37"/>
        <v>0</v>
      </c>
      <c r="H59" s="22">
        <f t="shared" si="38"/>
        <v>0</v>
      </c>
    </row>
    <row r="60" spans="2:16" outlineLevel="1" x14ac:dyDescent="0.35">
      <c r="B60" s="9" t="s">
        <v>67</v>
      </c>
      <c r="C60" s="14">
        <f>SUMIFS('Base - Non-Payroll'!$E:$E,'Base - Non-Payroll'!$A:$A,Summary!$B60)</f>
        <v>49427.32</v>
      </c>
      <c r="D60" s="14">
        <f>SUMIFS('Base - Non-Payroll'!$H:$H,'Base - Non-Payroll'!$A:$A,Summary!$B60)</f>
        <v>49427.32</v>
      </c>
      <c r="E60" s="14">
        <f>SUMIFS('Base - Non-Payroll'!$J:$J,'Base - Non-Payroll'!$A:$A,Summary!$B60)</f>
        <v>49427.32</v>
      </c>
      <c r="F60" s="14">
        <f>SUMIFS('Base - Non-Payroll'!$L:$L,'Base - Non-Payroll'!$A:$A,Summary!$B60)</f>
        <v>49427.32</v>
      </c>
      <c r="G60" s="14">
        <f t="shared" si="37"/>
        <v>0</v>
      </c>
      <c r="H60" s="22">
        <f t="shared" si="38"/>
        <v>0</v>
      </c>
    </row>
    <row r="61" spans="2:16" outlineLevel="1" x14ac:dyDescent="0.35">
      <c r="B61" s="9" t="s">
        <v>97</v>
      </c>
      <c r="C61" s="14">
        <f>SUMIFS('Base - Non-Payroll'!$E:$E,'Base - Non-Payroll'!$A:$A,Summary!$B61)</f>
        <v>0</v>
      </c>
      <c r="D61" s="14">
        <f>SUMIFS('Base - Non-Payroll'!$H:$H,'Base - Non-Payroll'!$A:$A,Summary!$B61)</f>
        <v>0</v>
      </c>
      <c r="E61" s="14">
        <f>SUMIFS('Base - Non-Payroll'!$J:$J,'Base - Non-Payroll'!$A:$A,Summary!$B61)</f>
        <v>0</v>
      </c>
      <c r="F61" s="14">
        <f>SUMIFS('Base - Non-Payroll'!$L:$L,'Base - Non-Payroll'!$A:$A,Summary!$B61)</f>
        <v>0</v>
      </c>
      <c r="G61" s="14">
        <f t="shared" si="37"/>
        <v>0</v>
      </c>
      <c r="H61" s="22">
        <f t="shared" si="38"/>
        <v>0</v>
      </c>
    </row>
    <row r="62" spans="2:16" outlineLevel="1" x14ac:dyDescent="0.35">
      <c r="B62" s="9" t="s">
        <v>68</v>
      </c>
      <c r="C62" s="14">
        <f>SUMIFS('Base - Non-Payroll'!$E:$E,'Base - Non-Payroll'!$A:$A,Summary!$B62)</f>
        <v>0</v>
      </c>
      <c r="D62" s="14">
        <f>SUMIFS('Base - Non-Payroll'!$H:$H,'Base - Non-Payroll'!$A:$A,Summary!$B62)</f>
        <v>0</v>
      </c>
      <c r="E62" s="14">
        <f>SUMIFS('Base - Non-Payroll'!$J:$J,'Base - Non-Payroll'!$A:$A,Summary!$B62)</f>
        <v>0</v>
      </c>
      <c r="F62" s="14">
        <f>SUMIFS('Base - Non-Payroll'!$L:$L,'Base - Non-Payroll'!$A:$A,Summary!$B62)</f>
        <v>0</v>
      </c>
      <c r="G62" s="14">
        <f t="shared" si="37"/>
        <v>0</v>
      </c>
      <c r="H62" s="22">
        <f t="shared" si="38"/>
        <v>0</v>
      </c>
    </row>
    <row r="63" spans="2:16" outlineLevel="1" x14ac:dyDescent="0.35">
      <c r="B63" s="9" t="s">
        <v>69</v>
      </c>
      <c r="C63" s="14">
        <f>SUMIFS('Base - Non-Payroll'!$E:$E,'Base - Non-Payroll'!$A:$A,Summary!$B63)</f>
        <v>40000.92</v>
      </c>
      <c r="D63" s="14">
        <f>SUMIFS('Base - Non-Payroll'!$H:$H,'Base - Non-Payroll'!$A:$A,Summary!$B63)</f>
        <v>40000.92</v>
      </c>
      <c r="E63" s="14">
        <f>SUMIFS('Base - Non-Payroll'!$J:$J,'Base - Non-Payroll'!$A:$A,Summary!$B63)</f>
        <v>40000.92</v>
      </c>
      <c r="F63" s="14">
        <f>SUMIFS('Base - Non-Payroll'!$L:$L,'Base - Non-Payroll'!$A:$A,Summary!$B63)</f>
        <v>40000.92</v>
      </c>
      <c r="G63" s="14">
        <f t="shared" si="37"/>
        <v>0</v>
      </c>
      <c r="H63" s="22">
        <f t="shared" si="38"/>
        <v>0</v>
      </c>
    </row>
    <row r="64" spans="2:16" outlineLevel="1" x14ac:dyDescent="0.35">
      <c r="B64" s="9" t="s">
        <v>70</v>
      </c>
      <c r="C64" s="14">
        <f>SUMIFS('Base - Non-Payroll'!$E:$E,'Base - Non-Payroll'!$A:$A,Summary!$B64)</f>
        <v>39685.129999999997</v>
      </c>
      <c r="D64" s="14">
        <f>SUMIFS('Base - Non-Payroll'!$H:$H,'Base - Non-Payroll'!$A:$A,Summary!$B64)</f>
        <v>39685.129999999997</v>
      </c>
      <c r="E64" s="14">
        <f>SUMIFS('Base - Non-Payroll'!$J:$J,'Base - Non-Payroll'!$A:$A,Summary!$B64)</f>
        <v>39685.129999999997</v>
      </c>
      <c r="F64" s="14">
        <f>SUMIFS('Base - Non-Payroll'!$L:$L,'Base - Non-Payroll'!$A:$A,Summary!$B64)</f>
        <v>39685.129999999997</v>
      </c>
      <c r="G64" s="14">
        <f t="shared" si="37"/>
        <v>0</v>
      </c>
      <c r="H64" s="22">
        <f t="shared" si="38"/>
        <v>0</v>
      </c>
    </row>
    <row r="65" spans="2:8" outlineLevel="1" x14ac:dyDescent="0.35">
      <c r="B65" s="9" t="s">
        <v>98</v>
      </c>
      <c r="C65" s="14">
        <f>SUMIFS('Base - Non-Payroll'!$E:$E,'Base - Non-Payroll'!$A:$A,Summary!$B65)</f>
        <v>0</v>
      </c>
      <c r="D65" s="14">
        <f>SUMIFS('Base - Non-Payroll'!$H:$H,'Base - Non-Payroll'!$A:$A,Summary!$B65)</f>
        <v>0</v>
      </c>
      <c r="E65" s="14">
        <f>SUMIFS('Base - Non-Payroll'!$J:$J,'Base - Non-Payroll'!$A:$A,Summary!$B65)</f>
        <v>0</v>
      </c>
      <c r="F65" s="14">
        <f>SUMIFS('Base - Non-Payroll'!$L:$L,'Base - Non-Payroll'!$A:$A,Summary!$B65)</f>
        <v>0</v>
      </c>
      <c r="G65" s="14">
        <f t="shared" si="37"/>
        <v>0</v>
      </c>
      <c r="H65" s="22">
        <f t="shared" si="38"/>
        <v>0</v>
      </c>
    </row>
    <row r="66" spans="2:8" outlineLevel="1" x14ac:dyDescent="0.35">
      <c r="B66" s="9" t="s">
        <v>99</v>
      </c>
      <c r="C66" s="14">
        <f>SUMIFS('Base - Non-Payroll'!$E:$E,'Base - Non-Payroll'!$A:$A,Summary!$B66)</f>
        <v>0</v>
      </c>
      <c r="D66" s="14">
        <f>SUMIFS('Base - Non-Payroll'!$H:$H,'Base - Non-Payroll'!$A:$A,Summary!$B66)</f>
        <v>0</v>
      </c>
      <c r="E66" s="14">
        <f>SUMIFS('Base - Non-Payroll'!$J:$J,'Base - Non-Payroll'!$A:$A,Summary!$B66)</f>
        <v>0</v>
      </c>
      <c r="F66" s="14">
        <f>SUMIFS('Base - Non-Payroll'!$L:$L,'Base - Non-Payroll'!$A:$A,Summary!$B66)</f>
        <v>0</v>
      </c>
      <c r="G66" s="14">
        <f t="shared" si="37"/>
        <v>0</v>
      </c>
      <c r="H66" s="22">
        <f t="shared" si="38"/>
        <v>0</v>
      </c>
    </row>
    <row r="67" spans="2:8" outlineLevel="1" x14ac:dyDescent="0.35">
      <c r="B67" s="9" t="s">
        <v>100</v>
      </c>
      <c r="C67" s="14">
        <f>SUMIFS('Base - Non-Payroll'!$E:$E,'Base - Non-Payroll'!$A:$A,Summary!$B67)</f>
        <v>0</v>
      </c>
      <c r="D67" s="14">
        <f>SUMIFS('Base - Non-Payroll'!$H:$H,'Base - Non-Payroll'!$A:$A,Summary!$B67)</f>
        <v>0</v>
      </c>
      <c r="E67" s="14">
        <f>SUMIFS('Base - Non-Payroll'!$J:$J,'Base - Non-Payroll'!$A:$A,Summary!$B67)</f>
        <v>0</v>
      </c>
      <c r="F67" s="14">
        <f>SUMIFS('Base - Non-Payroll'!$L:$L,'Base - Non-Payroll'!$A:$A,Summary!$B67)</f>
        <v>0</v>
      </c>
      <c r="G67" s="14">
        <f t="shared" si="37"/>
        <v>0</v>
      </c>
      <c r="H67" s="22">
        <f t="shared" si="38"/>
        <v>0</v>
      </c>
    </row>
    <row r="68" spans="2:8" outlineLevel="1" x14ac:dyDescent="0.35">
      <c r="B68" s="9" t="s">
        <v>101</v>
      </c>
      <c r="C68" s="14">
        <f>SUMIFS('Base - Non-Payroll'!$E:$E,'Base - Non-Payroll'!$A:$A,Summary!$B68)</f>
        <v>0</v>
      </c>
      <c r="D68" s="14">
        <f>SUMIFS('Base - Non-Payroll'!$H:$H,'Base - Non-Payroll'!$A:$A,Summary!$B68)</f>
        <v>0</v>
      </c>
      <c r="E68" s="14">
        <f>SUMIFS('Base - Non-Payroll'!$J:$J,'Base - Non-Payroll'!$A:$A,Summary!$B68)</f>
        <v>0</v>
      </c>
      <c r="F68" s="14">
        <f>SUMIFS('Base - Non-Payroll'!$L:$L,'Base - Non-Payroll'!$A:$A,Summary!$B68)</f>
        <v>0</v>
      </c>
      <c r="G68" s="14">
        <f t="shared" si="37"/>
        <v>0</v>
      </c>
      <c r="H68" s="22">
        <f t="shared" si="38"/>
        <v>0</v>
      </c>
    </row>
    <row r="69" spans="2:8" outlineLevel="1" x14ac:dyDescent="0.35">
      <c r="B69" s="9" t="s">
        <v>102</v>
      </c>
      <c r="C69" s="14">
        <f>SUMIFS('Base - Non-Payroll'!$E:$E,'Base - Non-Payroll'!$A:$A,Summary!$B69)</f>
        <v>0</v>
      </c>
      <c r="D69" s="14">
        <f>SUMIFS('Base - Non-Payroll'!$H:$H,'Base - Non-Payroll'!$A:$A,Summary!$B69)</f>
        <v>0</v>
      </c>
      <c r="E69" s="14">
        <f>SUMIFS('Base - Non-Payroll'!$J:$J,'Base - Non-Payroll'!$A:$A,Summary!$B69)</f>
        <v>0</v>
      </c>
      <c r="F69" s="14">
        <f>SUMIFS('Base - Non-Payroll'!$L:$L,'Base - Non-Payroll'!$A:$A,Summary!$B69)</f>
        <v>0</v>
      </c>
      <c r="G69" s="14">
        <f t="shared" si="37"/>
        <v>0</v>
      </c>
      <c r="H69" s="22">
        <f t="shared" si="38"/>
        <v>0</v>
      </c>
    </row>
    <row r="70" spans="2:8" outlineLevel="1" x14ac:dyDescent="0.35">
      <c r="B70" s="9" t="s">
        <v>103</v>
      </c>
      <c r="C70" s="14">
        <f>SUMIFS('Base - Non-Payroll'!$E:$E,'Base - Non-Payroll'!$A:$A,Summary!$B70)</f>
        <v>0</v>
      </c>
      <c r="D70" s="14">
        <f>SUMIFS('Base - Non-Payroll'!$H:$H,'Base - Non-Payroll'!$A:$A,Summary!$B70)</f>
        <v>0</v>
      </c>
      <c r="E70" s="14">
        <f>SUMIFS('Base - Non-Payroll'!$J:$J,'Base - Non-Payroll'!$A:$A,Summary!$B70)</f>
        <v>0</v>
      </c>
      <c r="F70" s="14">
        <f>SUMIFS('Base - Non-Payroll'!$L:$L,'Base - Non-Payroll'!$A:$A,Summary!$B70)</f>
        <v>0</v>
      </c>
      <c r="G70" s="14">
        <f t="shared" si="37"/>
        <v>0</v>
      </c>
      <c r="H70" s="22">
        <f t="shared" si="38"/>
        <v>0</v>
      </c>
    </row>
    <row r="71" spans="2:8" outlineLevel="1" x14ac:dyDescent="0.35">
      <c r="B71" s="9" t="s">
        <v>51</v>
      </c>
      <c r="C71" s="14">
        <f>SUMIFS('Base - Non-Payroll'!$E:$E,'Base - Non-Payroll'!$A:$A,Summary!$B71)</f>
        <v>0.34</v>
      </c>
      <c r="D71" s="14">
        <f>SUMIFS('Base - Non-Payroll'!$H:$H,'Base - Non-Payroll'!$A:$A,Summary!$B71)</f>
        <v>0.34</v>
      </c>
      <c r="E71" s="14">
        <f>SUMIFS('Base - Non-Payroll'!$J:$J,'Base - Non-Payroll'!$A:$A,Summary!$B71)</f>
        <v>0.34</v>
      </c>
      <c r="F71" s="14">
        <f>SUMIFS('Base - Non-Payroll'!$L:$L,'Base - Non-Payroll'!$A:$A,Summary!$B71)</f>
        <v>0.34</v>
      </c>
      <c r="G71" s="14">
        <f t="shared" si="37"/>
        <v>0</v>
      </c>
      <c r="H71" s="22">
        <f t="shared" si="38"/>
        <v>0</v>
      </c>
    </row>
    <row r="72" spans="2:8" outlineLevel="1" x14ac:dyDescent="0.35">
      <c r="B72" s="9" t="s">
        <v>104</v>
      </c>
      <c r="C72" s="14">
        <f>SUMIFS('Base - Non-Payroll'!$E:$E,'Base - Non-Payroll'!$A:$A,Summary!$B72)</f>
        <v>0</v>
      </c>
      <c r="D72" s="14">
        <f>SUMIFS('Base - Non-Payroll'!$H:$H,'Base - Non-Payroll'!$A:$A,Summary!$B72)</f>
        <v>0</v>
      </c>
      <c r="E72" s="14">
        <f>SUMIFS('Base - Non-Payroll'!$J:$J,'Base - Non-Payroll'!$A:$A,Summary!$B72)</f>
        <v>0</v>
      </c>
      <c r="F72" s="14">
        <f>SUMIFS('Base - Non-Payroll'!$L:$L,'Base - Non-Payroll'!$A:$A,Summary!$B72)</f>
        <v>0</v>
      </c>
      <c r="G72" s="14">
        <f t="shared" si="37"/>
        <v>0</v>
      </c>
      <c r="H72" s="22">
        <f t="shared" si="38"/>
        <v>0</v>
      </c>
    </row>
    <row r="73" spans="2:8" outlineLevel="1" x14ac:dyDescent="0.35">
      <c r="B73" s="9" t="s">
        <v>105</v>
      </c>
      <c r="C73" s="14">
        <f>SUMIFS('Base - Non-Payroll'!$E:$E,'Base - Non-Payroll'!$A:$A,Summary!$B73)</f>
        <v>0</v>
      </c>
      <c r="D73" s="14">
        <f>SUMIFS('Base - Non-Payroll'!$H:$H,'Base - Non-Payroll'!$A:$A,Summary!$B73)</f>
        <v>0</v>
      </c>
      <c r="E73" s="14">
        <f>SUMIFS('Base - Non-Payroll'!$J:$J,'Base - Non-Payroll'!$A:$A,Summary!$B73)</f>
        <v>0</v>
      </c>
      <c r="F73" s="14">
        <f>SUMIFS('Base - Non-Payroll'!$L:$L,'Base - Non-Payroll'!$A:$A,Summary!$B73)</f>
        <v>0</v>
      </c>
      <c r="G73" s="14">
        <f t="shared" si="37"/>
        <v>0</v>
      </c>
      <c r="H73" s="22">
        <f t="shared" si="38"/>
        <v>0</v>
      </c>
    </row>
    <row r="74" spans="2:8" outlineLevel="1" x14ac:dyDescent="0.35">
      <c r="B74" s="9" t="s">
        <v>106</v>
      </c>
      <c r="C74" s="14">
        <f>SUMIFS('Base - Non-Payroll'!$E:$E,'Base - Non-Payroll'!$A:$A,Summary!$B74)</f>
        <v>0</v>
      </c>
      <c r="D74" s="14">
        <f>SUMIFS('Base - Non-Payroll'!$H:$H,'Base - Non-Payroll'!$A:$A,Summary!$B74)</f>
        <v>0</v>
      </c>
      <c r="E74" s="14">
        <f>SUMIFS('Base - Non-Payroll'!$J:$J,'Base - Non-Payroll'!$A:$A,Summary!$B74)</f>
        <v>0</v>
      </c>
      <c r="F74" s="14">
        <f>SUMIFS('Base - Non-Payroll'!$L:$L,'Base - Non-Payroll'!$A:$A,Summary!$B74)</f>
        <v>0</v>
      </c>
      <c r="G74" s="14">
        <f t="shared" si="37"/>
        <v>0</v>
      </c>
      <c r="H74" s="22">
        <f t="shared" si="38"/>
        <v>0</v>
      </c>
    </row>
    <row r="75" spans="2:8" x14ac:dyDescent="0.35">
      <c r="B75" s="11" t="s">
        <v>33</v>
      </c>
      <c r="C75" s="15">
        <f>SUM(C54:C74)</f>
        <v>2405492.9069999992</v>
      </c>
      <c r="D75" s="15">
        <f>SUM(D54:D74)</f>
        <v>2405492.9069999992</v>
      </c>
      <c r="E75" s="15">
        <f>SUM(E54:E74)</f>
        <v>2405492.9069999992</v>
      </c>
      <c r="F75" s="15">
        <f>SUM(F54:F74)</f>
        <v>2405492.9069999992</v>
      </c>
      <c r="G75" s="15">
        <f>SUM(G54:G74)</f>
        <v>0</v>
      </c>
      <c r="H75" s="23">
        <f>IFERROR(D75/C75-1,0)</f>
        <v>0</v>
      </c>
    </row>
    <row r="76" spans="2:8" x14ac:dyDescent="0.35">
      <c r="B76" s="9"/>
      <c r="C76" s="17"/>
      <c r="D76" s="17"/>
      <c r="E76" s="17"/>
      <c r="F76" s="17"/>
      <c r="G76" s="17"/>
      <c r="H76" s="25"/>
    </row>
    <row r="77" spans="2:8" x14ac:dyDescent="0.35">
      <c r="B77" s="13" t="s">
        <v>72</v>
      </c>
      <c r="C77" s="18">
        <f>C52+C75</f>
        <v>26614767.781499997</v>
      </c>
      <c r="D77" s="18">
        <f>D52+D75</f>
        <v>27822862.479469188</v>
      </c>
      <c r="E77" s="18">
        <f>E52+E75</f>
        <v>27822862.479469188</v>
      </c>
      <c r="F77" s="18">
        <f>F52+F75</f>
        <v>27822862.479469188</v>
      </c>
      <c r="G77" s="18">
        <f>G52+G75</f>
        <v>1208094.6979691889</v>
      </c>
      <c r="H77" s="26">
        <f>IFERROR(D77/C77-1,0)</f>
        <v>4.5391893248414528E-2</v>
      </c>
    </row>
    <row r="78" spans="2:8" x14ac:dyDescent="0.35">
      <c r="B78" s="9"/>
      <c r="C78" s="16"/>
      <c r="D78" s="16"/>
      <c r="E78" s="16"/>
      <c r="F78" s="16"/>
      <c r="G78" s="16"/>
      <c r="H78" s="24"/>
    </row>
    <row r="79" spans="2:8" x14ac:dyDescent="0.35">
      <c r="B79" s="2" t="s">
        <v>73</v>
      </c>
      <c r="C79" s="19"/>
      <c r="D79" s="19"/>
      <c r="E79" s="19"/>
      <c r="F79" s="19"/>
    </row>
    <row r="80" spans="2:8" s="8" customFormat="1" x14ac:dyDescent="0.35">
      <c r="B80" s="10"/>
      <c r="C80" s="20"/>
      <c r="D80" s="10" t="s">
        <v>37</v>
      </c>
      <c r="E80" s="59" t="s">
        <v>119</v>
      </c>
      <c r="F80" s="59" t="s">
        <v>120</v>
      </c>
      <c r="G80"/>
      <c r="H80"/>
    </row>
    <row r="81" spans="2:6" outlineLevel="1" x14ac:dyDescent="0.35">
      <c r="B81" s="9" t="s">
        <v>118</v>
      </c>
      <c r="C81" s="16"/>
      <c r="D81" s="16" cm="1">
        <f t="array" ref="D81">SUMPRODUCT(IFERROR(tblPayrollIncrementalSpend[Base Salary]*tblPayrollIncrementalSpend[2027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1" s="16" cm="1">
        <f t="array" ref="E81">SUMPRODUCT(IFERROR(tblPayrollIncrementalSpend[Base Salary]*tblPayrollIncrementalSpend[2028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1" s="16" cm="1">
        <f t="array" ref="F81">SUMPRODUCT(IFERROR(tblPayrollIncrementalSpend[Base Salary]*tblPayrollIncrementalSpend[2029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2" spans="2:6" outlineLevel="1" x14ac:dyDescent="0.35">
      <c r="B82" s="9" t="s">
        <v>57</v>
      </c>
      <c r="C82" s="16"/>
      <c r="D82" s="16" cm="1">
        <f t="array" ref="D82">SUMPRODUCT(IFERROR(tblPayrollIncrementalSpend[Bonus]*tblPayrollIncrementalSpend[2027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2" s="16" cm="1">
        <f t="array" ref="E82">SUMPRODUCT(IFERROR(tblPayrollIncrementalSpend[Bonus]*tblPayrollIncrementalSpend[2028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2" s="16" cm="1">
        <f t="array" ref="F82">SUMPRODUCT(IFERROR(tblPayrollIncrementalSpend[Bonus]*tblPayrollIncrementalSpend[2029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3" spans="2:6" outlineLevel="1" x14ac:dyDescent="0.35">
      <c r="B83" s="9" t="s">
        <v>58</v>
      </c>
      <c r="C83" s="16"/>
      <c r="D83" s="16">
        <f>SUMIF(tblNonPayrollIncrementalSpend[Type of Expense],$B83,tblNonPayrollIncrementalSpend[2027 Incremental Spend])</f>
        <v>0</v>
      </c>
      <c r="E83" s="16">
        <f>SUMIF(tblNonPayrollIncrementalSpend3[Type of Expense],$B83,tblNonPayrollIncrementalSpend3[2028 Incremental Spend])</f>
        <v>0</v>
      </c>
      <c r="F83" s="16">
        <f>SUMIF(tblNonPayrollIncrementalSpend3[Type of Expense],$B83,tblNonPayrollIncrementalSpend3[2029 Incremental Spend])</f>
        <v>0</v>
      </c>
    </row>
    <row r="84" spans="2:6" outlineLevel="1" x14ac:dyDescent="0.35">
      <c r="B84" s="9" t="s">
        <v>48</v>
      </c>
      <c r="C84" s="16"/>
      <c r="D84" s="16" cm="1">
        <f t="array" ref="D84">SUMPRODUCT(IFERROR(tblPayrollIncrementalSpend[Payroll Taxes]*tblPayrollIncrementalSpend[2027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4" s="16" cm="1">
        <f t="array" ref="E84">SUMPRODUCT(IFERROR(tblPayrollIncrementalSpend[Payroll Taxes]*tblPayrollIncrementalSpend[2028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4" s="16" cm="1">
        <f t="array" ref="F84">SUMPRODUCT(IFERROR(tblPayrollIncrementalSpend[Payroll Taxes]*tblPayrollIncrementalSpend[2029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5" spans="2:6" outlineLevel="1" x14ac:dyDescent="0.35">
      <c r="B85" s="9" t="s">
        <v>49</v>
      </c>
      <c r="C85" s="16"/>
      <c r="D85" s="16" cm="1">
        <f t="array" ref="D85">SUMPRODUCT(IFERROR(tblPayrollIncrementalSpend[Benefits]*tblPayrollIncrementalSpend[2027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5" s="16" cm="1">
        <f t="array" ref="E85">SUMPRODUCT(IFERROR(tblPayrollIncrementalSpend[Benefits]*tblPayrollIncrementalSpend[2028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5" s="16" cm="1">
        <f t="array" ref="F85">SUMPRODUCT(IFERROR(tblPayrollIncrementalSpend[Benefits]*tblPayrollIncrementalSpend[2029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6" spans="2:6" outlineLevel="1" x14ac:dyDescent="0.35">
      <c r="B86" s="9" t="s">
        <v>50</v>
      </c>
      <c r="C86" s="16"/>
      <c r="D86" s="16" cm="1">
        <f t="array" ref="D86">SUMPRODUCT(IFERROR(tblPayrollIncrementalSpend[Vacation]*tblPayrollIncrementalSpend[2027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6" s="16" cm="1">
        <f t="array" ref="E86">SUMPRODUCT(IFERROR(tblPayrollIncrementalSpend[Vacation]*tblPayrollIncrementalSpend[2028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6" s="16" cm="1">
        <f t="array" ref="F86">SUMPRODUCT(IFERROR(tblPayrollIncrementalSpend[Vacation]*tblPayrollIncrementalSpend[2029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7" spans="2:6" outlineLevel="1" x14ac:dyDescent="0.35">
      <c r="B87" s="9" t="s">
        <v>51</v>
      </c>
      <c r="C87" s="16"/>
      <c r="D87" s="16" cm="1">
        <f t="array" ref="D87">SUMPRODUCT(IFERROR(tblPayrollIncrementalSpend[Other]*tblPayrollIncrementalSpend[2027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7" s="16" cm="1">
        <f t="array" ref="E87">SUMPRODUCT(IFERROR(tblPayrollIncrementalSpend[Other]*tblPayrollIncrementalSpend[2028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7" s="16" cm="1">
        <f t="array" ref="F87">SUMPRODUCT(IFERROR(tblPayrollIncrementalSpend[Other]*tblPayrollIncrementalSpend[2029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8" spans="2:6" outlineLevel="1" x14ac:dyDescent="0.35">
      <c r="B88" s="9" t="s">
        <v>59</v>
      </c>
      <c r="C88" s="16"/>
      <c r="D88" s="16">
        <f>SUMIF(tblNonPayrollIncrementalSpend[Type of Expense],$B88,tblNonPayrollIncrementalSpend[2027 Incremental Spend])</f>
        <v>0</v>
      </c>
      <c r="E88" s="16">
        <f>SUMIF(tblNonPayrollIncrementalSpend3[Type of Expense],$B88,tblNonPayrollIncrementalSpend3[2028 Incremental Spend])</f>
        <v>0</v>
      </c>
      <c r="F88" s="16">
        <f>SUMIF(tblNonPayrollIncrementalSpend3[Type of Expense],$B88,tblNonPayrollIncrementalSpend3[2029 Incremental Spend])</f>
        <v>0</v>
      </c>
    </row>
    <row r="89" spans="2:6" outlineLevel="1" x14ac:dyDescent="0.35">
      <c r="B89" s="9" t="s">
        <v>76</v>
      </c>
      <c r="C89" s="16"/>
      <c r="D89" s="16">
        <f>SUMIF(tblNonPayrollIncrementalSpend[Type of Expense],$B89,tblNonPayrollIncrementalSpend[2027 Incremental Spend])</f>
        <v>0</v>
      </c>
      <c r="E89" s="16">
        <f>SUMIF(tblNonPayrollIncrementalSpend3[Type of Expense],$B89,tblNonPayrollIncrementalSpend3[2028 Incremental Spend])</f>
        <v>0</v>
      </c>
      <c r="F89" s="16">
        <f>SUMIF(tblNonPayrollIncrementalSpend3[Type of Expense],$B89,tblNonPayrollIncrementalSpend3[2029 Incremental Spend])</f>
        <v>0</v>
      </c>
    </row>
    <row r="90" spans="2:6" x14ac:dyDescent="0.35">
      <c r="B90" s="11" t="s">
        <v>34</v>
      </c>
      <c r="C90" s="15"/>
      <c r="D90" s="15">
        <f>SUM(D81:D89)</f>
        <v>0</v>
      </c>
      <c r="E90" s="68">
        <f>SUM(E81:E89)</f>
        <v>0</v>
      </c>
      <c r="F90" s="68">
        <f>SUM(F81:F89)</f>
        <v>0</v>
      </c>
    </row>
    <row r="91" spans="2:6" x14ac:dyDescent="0.35">
      <c r="B91" s="9"/>
      <c r="C91" s="16"/>
      <c r="D91" s="16"/>
      <c r="E91" s="16"/>
      <c r="F91" s="16"/>
    </row>
    <row r="92" spans="2:6" outlineLevel="1" x14ac:dyDescent="0.35">
      <c r="B92" s="9" t="s">
        <v>62</v>
      </c>
      <c r="C92" s="14"/>
      <c r="D92" s="14">
        <f>SUMIF(tblNonPayrollIncrementalSpend[Type of Expense],$B92,tblNonPayrollIncrementalSpend[2027 Incremental Spend])</f>
        <v>0</v>
      </c>
      <c r="E92" s="14">
        <f>SUMIF(tblNonPayrollIncrementalSpend3[Type of Expense],$B92,tblNonPayrollIncrementalSpend3[2028 Incremental Spend])</f>
        <v>0</v>
      </c>
      <c r="F92" s="14">
        <f>SUMIF(tblNonPayrollIncrementalSpend3[Type of Expense],$B92,tblNonPayrollIncrementalSpend3[2029 Incremental Spend])</f>
        <v>0</v>
      </c>
    </row>
    <row r="93" spans="2:6" outlineLevel="1" x14ac:dyDescent="0.35">
      <c r="B93" s="9" t="s">
        <v>96</v>
      </c>
      <c r="C93" s="14"/>
      <c r="D93" s="14">
        <f>SUMIF(tblNonPayrollIncrementalSpend[Type of Expense],$B93,tblNonPayrollIncrementalSpend[2027 Incremental Spend])</f>
        <v>0</v>
      </c>
      <c r="E93" s="14">
        <f>SUMIF(tblNonPayrollIncrementalSpend3[Type of Expense],$B93,tblNonPayrollIncrementalSpend3[2028 Incremental Spend])</f>
        <v>0</v>
      </c>
      <c r="F93" s="14">
        <f>SUMIF(tblNonPayrollIncrementalSpend3[Type of Expense],$B93,tblNonPayrollIncrementalSpend3[2029 Incremental Spend])</f>
        <v>0</v>
      </c>
    </row>
    <row r="94" spans="2:6" outlineLevel="1" x14ac:dyDescent="0.35">
      <c r="B94" s="9" t="s">
        <v>63</v>
      </c>
      <c r="C94" s="14"/>
      <c r="D94" s="14">
        <f>SUMIF(tblNonPayrollIncrementalSpend[Type of Expense],$B94,tblNonPayrollIncrementalSpend[2027 Incremental Spend])</f>
        <v>0</v>
      </c>
      <c r="E94" s="14">
        <f>SUMIF(tblNonPayrollIncrementalSpend3[Type of Expense],$B94,tblNonPayrollIncrementalSpend3[2028 Incremental Spend])</f>
        <v>0</v>
      </c>
      <c r="F94" s="14">
        <f>SUMIF(tblNonPayrollIncrementalSpend3[Type of Expense],$B94,tblNonPayrollIncrementalSpend3[2029 Incremental Spend])</f>
        <v>0</v>
      </c>
    </row>
    <row r="95" spans="2:6" outlineLevel="1" x14ac:dyDescent="0.35">
      <c r="B95" s="9" t="s">
        <v>64</v>
      </c>
      <c r="C95" s="14"/>
      <c r="D95" s="14">
        <f>SUMIF(tblNonPayrollIncrementalSpend[Type of Expense],$B95,tblNonPayrollIncrementalSpend[2027 Incremental Spend])</f>
        <v>0</v>
      </c>
      <c r="E95" s="14">
        <f>SUMIF(tblNonPayrollIncrementalSpend3[Type of Expense],$B95,tblNonPayrollIncrementalSpend3[2028 Incremental Spend])</f>
        <v>0</v>
      </c>
      <c r="F95" s="14">
        <f>SUMIF(tblNonPayrollIncrementalSpend3[Type of Expense],$B95,tblNonPayrollIncrementalSpend3[2029 Incremental Spend])</f>
        <v>0</v>
      </c>
    </row>
    <row r="96" spans="2:6" outlineLevel="1" x14ac:dyDescent="0.35">
      <c r="B96" s="9" t="s">
        <v>65</v>
      </c>
      <c r="C96" s="14"/>
      <c r="D96" s="14">
        <f>SUMIF(tblNonPayrollIncrementalSpend[Type of Expense],$B96,tblNonPayrollIncrementalSpend[2027 Incremental Spend])</f>
        <v>0</v>
      </c>
      <c r="E96" s="14">
        <f>SUMIF(tblNonPayrollIncrementalSpend3[Type of Expense],$B96,tblNonPayrollIncrementalSpend3[2028 Incremental Spend])</f>
        <v>0</v>
      </c>
      <c r="F96" s="14">
        <f>SUMIF(tblNonPayrollIncrementalSpend3[Type of Expense],$B96,tblNonPayrollIncrementalSpend3[2029 Incremental Spend])</f>
        <v>0</v>
      </c>
    </row>
    <row r="97" spans="2:6" outlineLevel="1" x14ac:dyDescent="0.35">
      <c r="B97" s="9" t="s">
        <v>66</v>
      </c>
      <c r="C97" s="14"/>
      <c r="D97" s="14">
        <f>SUMIF(tblNonPayrollIncrementalSpend[Type of Expense],$B97,tblNonPayrollIncrementalSpend[2027 Incremental Spend])</f>
        <v>0</v>
      </c>
      <c r="E97" s="14">
        <f>SUMIF(tblNonPayrollIncrementalSpend3[Type of Expense],$B97,tblNonPayrollIncrementalSpend3[2028 Incremental Spend])</f>
        <v>0</v>
      </c>
      <c r="F97" s="14">
        <f>SUMIF(tblNonPayrollIncrementalSpend3[Type of Expense],$B97,tblNonPayrollIncrementalSpend3[2029 Incremental Spend])</f>
        <v>0</v>
      </c>
    </row>
    <row r="98" spans="2:6" outlineLevel="1" x14ac:dyDescent="0.35">
      <c r="B98" s="9" t="s">
        <v>67</v>
      </c>
      <c r="C98" s="14"/>
      <c r="D98" s="14">
        <f>SUMIF(tblNonPayrollIncrementalSpend[Type of Expense],$B98,tblNonPayrollIncrementalSpend[2027 Incremental Spend])</f>
        <v>0</v>
      </c>
      <c r="E98" s="14">
        <f>SUMIF(tblNonPayrollIncrementalSpend3[Type of Expense],$B98,tblNonPayrollIncrementalSpend3[2028 Incremental Spend])</f>
        <v>0</v>
      </c>
      <c r="F98" s="14">
        <f>SUMIF(tblNonPayrollIncrementalSpend3[Type of Expense],$B98,tblNonPayrollIncrementalSpend3[2029 Incremental Spend])</f>
        <v>0</v>
      </c>
    </row>
    <row r="99" spans="2:6" outlineLevel="1" x14ac:dyDescent="0.35">
      <c r="B99" s="9" t="s">
        <v>97</v>
      </c>
      <c r="C99" s="14"/>
      <c r="D99" s="14">
        <f>SUMIF(tblNonPayrollIncrementalSpend[Type of Expense],$B99,tblNonPayrollIncrementalSpend[2027 Incremental Spend])</f>
        <v>0</v>
      </c>
      <c r="E99" s="14">
        <f>SUMIF(tblNonPayrollIncrementalSpend3[Type of Expense],$B99,tblNonPayrollIncrementalSpend3[2028 Incremental Spend])</f>
        <v>0</v>
      </c>
      <c r="F99" s="14">
        <f>SUMIF(tblNonPayrollIncrementalSpend3[Type of Expense],$B99,tblNonPayrollIncrementalSpend3[2029 Incremental Spend])</f>
        <v>0</v>
      </c>
    </row>
    <row r="100" spans="2:6" outlineLevel="1" x14ac:dyDescent="0.35">
      <c r="B100" s="9" t="s">
        <v>68</v>
      </c>
      <c r="C100" s="14"/>
      <c r="D100" s="14">
        <f>SUMIF(tblNonPayrollIncrementalSpend[Type of Expense],$B100,tblNonPayrollIncrementalSpend[2027 Incremental Spend])</f>
        <v>0</v>
      </c>
      <c r="E100" s="14">
        <f>SUMIF(tblNonPayrollIncrementalSpend3[Type of Expense],$B100,tblNonPayrollIncrementalSpend3[2028 Incremental Spend])</f>
        <v>0</v>
      </c>
      <c r="F100" s="14">
        <f>SUMIF(tblNonPayrollIncrementalSpend3[Type of Expense],$B100,tblNonPayrollIncrementalSpend3[2029 Incremental Spend])</f>
        <v>0</v>
      </c>
    </row>
    <row r="101" spans="2:6" outlineLevel="1" x14ac:dyDescent="0.35">
      <c r="B101" s="9" t="s">
        <v>69</v>
      </c>
      <c r="C101" s="14"/>
      <c r="D101" s="14">
        <f>SUMIF(tblNonPayrollIncrementalSpend[Type of Expense],$B101,tblNonPayrollIncrementalSpend[2027 Incremental Spend])</f>
        <v>0</v>
      </c>
      <c r="E101" s="14">
        <f>SUMIF(tblNonPayrollIncrementalSpend3[Type of Expense],$B101,tblNonPayrollIncrementalSpend3[2028 Incremental Spend])</f>
        <v>0</v>
      </c>
      <c r="F101" s="14">
        <f>SUMIF(tblNonPayrollIncrementalSpend3[Type of Expense],$B101,tblNonPayrollIncrementalSpend3[2029 Incremental Spend])</f>
        <v>0</v>
      </c>
    </row>
    <row r="102" spans="2:6" outlineLevel="1" x14ac:dyDescent="0.35">
      <c r="B102" s="9" t="s">
        <v>70</v>
      </c>
      <c r="C102" s="14"/>
      <c r="D102" s="14">
        <f>SUMIF(tblNonPayrollIncrementalSpend[Type of Expense],$B102,tblNonPayrollIncrementalSpend[2027 Incremental Spend])</f>
        <v>0</v>
      </c>
      <c r="E102" s="14">
        <f>SUMIF(tblNonPayrollIncrementalSpend3[Type of Expense],$B102,tblNonPayrollIncrementalSpend3[2028 Incremental Spend])</f>
        <v>0</v>
      </c>
      <c r="F102" s="14">
        <f>SUMIF(tblNonPayrollIncrementalSpend3[Type of Expense],$B102,tblNonPayrollIncrementalSpend3[2029 Incremental Spend])</f>
        <v>0</v>
      </c>
    </row>
    <row r="103" spans="2:6" outlineLevel="1" x14ac:dyDescent="0.35">
      <c r="B103" s="9" t="s">
        <v>98</v>
      </c>
      <c r="C103" s="14"/>
      <c r="D103" s="14">
        <f>SUMIF(tblNonPayrollIncrementalSpend[Type of Expense],$B103,tblNonPayrollIncrementalSpend[2027 Incremental Spend])</f>
        <v>0</v>
      </c>
      <c r="E103" s="14">
        <f>SUMIF(tblNonPayrollIncrementalSpend3[Type of Expense],$B103,tblNonPayrollIncrementalSpend3[2028 Incremental Spend])</f>
        <v>0</v>
      </c>
      <c r="F103" s="14">
        <f>SUMIF(tblNonPayrollIncrementalSpend3[Type of Expense],$B103,tblNonPayrollIncrementalSpend3[2029 Incremental Spend])</f>
        <v>0</v>
      </c>
    </row>
    <row r="104" spans="2:6" outlineLevel="1" x14ac:dyDescent="0.35">
      <c r="B104" s="9" t="s">
        <v>99</v>
      </c>
      <c r="C104" s="14"/>
      <c r="D104" s="14">
        <f>SUMIF(tblNonPayrollIncrementalSpend[Type of Expense],$B104,tblNonPayrollIncrementalSpend[2027 Incremental Spend])</f>
        <v>0</v>
      </c>
      <c r="E104" s="14">
        <f>SUMIF(tblNonPayrollIncrementalSpend3[Type of Expense],$B104,tblNonPayrollIncrementalSpend3[2028 Incremental Spend])</f>
        <v>0</v>
      </c>
      <c r="F104" s="14">
        <f>SUMIF(tblNonPayrollIncrementalSpend3[Type of Expense],$B104,tblNonPayrollIncrementalSpend3[2029 Incremental Spend])</f>
        <v>0</v>
      </c>
    </row>
    <row r="105" spans="2:6" outlineLevel="1" x14ac:dyDescent="0.35">
      <c r="B105" s="9" t="s">
        <v>100</v>
      </c>
      <c r="C105" s="14"/>
      <c r="D105" s="14">
        <f>SUMIF(tblNonPayrollIncrementalSpend[Type of Expense],$B105,tblNonPayrollIncrementalSpend[2027 Incremental Spend])</f>
        <v>0</v>
      </c>
      <c r="E105" s="14">
        <f>SUMIF(tblNonPayrollIncrementalSpend3[Type of Expense],$B105,tblNonPayrollIncrementalSpend3[2028 Incremental Spend])</f>
        <v>0</v>
      </c>
      <c r="F105" s="14">
        <f>SUMIF(tblNonPayrollIncrementalSpend3[Type of Expense],$B105,tblNonPayrollIncrementalSpend3[2029 Incremental Spend])</f>
        <v>0</v>
      </c>
    </row>
    <row r="106" spans="2:6" outlineLevel="1" x14ac:dyDescent="0.35">
      <c r="B106" s="9" t="s">
        <v>101</v>
      </c>
      <c r="C106" s="14"/>
      <c r="D106" s="14">
        <f>SUMIF(tblNonPayrollIncrementalSpend[Type of Expense],$B106,tblNonPayrollIncrementalSpend[2027 Incremental Spend])</f>
        <v>0</v>
      </c>
      <c r="E106" s="14">
        <f>SUMIF(tblNonPayrollIncrementalSpend3[Type of Expense],$B106,tblNonPayrollIncrementalSpend3[2028 Incremental Spend])</f>
        <v>0</v>
      </c>
      <c r="F106" s="14">
        <f>SUMIF(tblNonPayrollIncrementalSpend3[Type of Expense],$B106,tblNonPayrollIncrementalSpend3[2029 Incremental Spend])</f>
        <v>0</v>
      </c>
    </row>
    <row r="107" spans="2:6" outlineLevel="1" x14ac:dyDescent="0.35">
      <c r="B107" s="9" t="s">
        <v>102</v>
      </c>
      <c r="C107" s="14"/>
      <c r="D107" s="14">
        <f>SUMIF(tblNonPayrollIncrementalSpend[Type of Expense],$B107,tblNonPayrollIncrementalSpend[2027 Incremental Spend])</f>
        <v>0</v>
      </c>
      <c r="E107" s="14">
        <f>SUMIF(tblNonPayrollIncrementalSpend3[Type of Expense],$B107,tblNonPayrollIncrementalSpend3[2028 Incremental Spend])</f>
        <v>0</v>
      </c>
      <c r="F107" s="14">
        <f>SUMIF(tblNonPayrollIncrementalSpend3[Type of Expense],$B107,tblNonPayrollIncrementalSpend3[2029 Incremental Spend])</f>
        <v>0</v>
      </c>
    </row>
    <row r="108" spans="2:6" outlineLevel="1" x14ac:dyDescent="0.35">
      <c r="B108" s="9" t="s">
        <v>103</v>
      </c>
      <c r="C108" s="14"/>
      <c r="D108" s="14">
        <f>SUMIF(tblNonPayrollIncrementalSpend[Type of Expense],$B108,tblNonPayrollIncrementalSpend[2027 Incremental Spend])</f>
        <v>0</v>
      </c>
      <c r="E108" s="14">
        <f>SUMIF(tblNonPayrollIncrementalSpend3[Type of Expense],$B108,tblNonPayrollIncrementalSpend3[2028 Incremental Spend])</f>
        <v>0</v>
      </c>
      <c r="F108" s="14">
        <f>SUMIF(tblNonPayrollIncrementalSpend3[Type of Expense],$B108,tblNonPayrollIncrementalSpend3[2029 Incremental Spend])</f>
        <v>0</v>
      </c>
    </row>
    <row r="109" spans="2:6" outlineLevel="1" x14ac:dyDescent="0.35">
      <c r="B109" s="9" t="s">
        <v>51</v>
      </c>
      <c r="C109" s="14"/>
      <c r="D109" s="14">
        <f>SUMIF(tblNonPayrollIncrementalSpend[Type of Expense],$B109,tblNonPayrollIncrementalSpend[2027 Incremental Spend])</f>
        <v>0</v>
      </c>
      <c r="E109" s="14">
        <f>SUMIF(tblNonPayrollIncrementalSpend3[Type of Expense],$B109,tblNonPayrollIncrementalSpend3[2028 Incremental Spend])</f>
        <v>0</v>
      </c>
      <c r="F109" s="14">
        <f>SUMIF(tblNonPayrollIncrementalSpend3[Type of Expense],$B109,tblNonPayrollIncrementalSpend3[2029 Incremental Spend])</f>
        <v>0</v>
      </c>
    </row>
    <row r="110" spans="2:6" outlineLevel="1" x14ac:dyDescent="0.35">
      <c r="B110" s="9" t="s">
        <v>104</v>
      </c>
      <c r="C110" s="14"/>
      <c r="D110" s="14">
        <f>SUMIF(tblNonPayrollIncrementalSpend[Type of Expense],$B110,tblNonPayrollIncrementalSpend[2027 Incremental Spend])</f>
        <v>0</v>
      </c>
      <c r="E110" s="14">
        <f>SUMIF(tblNonPayrollIncrementalSpend3[Type of Expense],$B110,tblNonPayrollIncrementalSpend3[2028 Incremental Spend])</f>
        <v>0</v>
      </c>
      <c r="F110" s="14">
        <f>SUMIF(tblNonPayrollIncrementalSpend3[Type of Expense],$B110,tblNonPayrollIncrementalSpend3[2029 Incremental Spend])</f>
        <v>0</v>
      </c>
    </row>
    <row r="111" spans="2:6" outlineLevel="1" x14ac:dyDescent="0.35">
      <c r="B111" s="9" t="s">
        <v>105</v>
      </c>
      <c r="C111" s="14"/>
      <c r="D111" s="14">
        <f>SUMIF(tblNonPayrollIncrementalSpend[Type of Expense],$B111,tblNonPayrollIncrementalSpend[2027 Incremental Spend])</f>
        <v>0</v>
      </c>
      <c r="E111" s="14">
        <f>SUMIF(tblNonPayrollIncrementalSpend3[Type of Expense],$B111,tblNonPayrollIncrementalSpend3[2028 Incremental Spend])</f>
        <v>0</v>
      </c>
      <c r="F111" s="14">
        <f>SUMIF(tblNonPayrollIncrementalSpend3[Type of Expense],$B111,tblNonPayrollIncrementalSpend3[2029 Incremental Spend])</f>
        <v>0</v>
      </c>
    </row>
    <row r="112" spans="2:6" outlineLevel="1" x14ac:dyDescent="0.35">
      <c r="B112" s="9" t="s">
        <v>106</v>
      </c>
      <c r="C112" s="14"/>
      <c r="D112" s="14">
        <f>SUMIF(tblNonPayrollIncrementalSpend[Type of Expense],$B112,tblNonPayrollIncrementalSpend[2027 Incremental Spend])</f>
        <v>0</v>
      </c>
      <c r="E112" s="14">
        <f>SUMIF(tblNonPayrollIncrementalSpend3[Type of Expense],$B112,tblNonPayrollIncrementalSpend3[2028 Incremental Spend])</f>
        <v>0</v>
      </c>
      <c r="F112" s="14">
        <f>SUMIF(tblNonPayrollIncrementalSpend3[Type of Expense],$B112,tblNonPayrollIncrementalSpend3[2029 Incremental Spend])</f>
        <v>0</v>
      </c>
    </row>
    <row r="113" spans="2:6" x14ac:dyDescent="0.35">
      <c r="B113" s="11" t="s">
        <v>36</v>
      </c>
      <c r="C113" s="15"/>
      <c r="D113" s="15">
        <f>SUM(D92:D112)</f>
        <v>0</v>
      </c>
      <c r="E113" s="68">
        <f>SUM(E92:E112)</f>
        <v>0</v>
      </c>
      <c r="F113" s="68">
        <f>SUM(F92:F112)</f>
        <v>0</v>
      </c>
    </row>
    <row r="114" spans="2:6" x14ac:dyDescent="0.35">
      <c r="B114" s="9"/>
      <c r="C114" s="17"/>
      <c r="D114" s="17"/>
      <c r="E114" s="17"/>
      <c r="F114" s="17"/>
    </row>
    <row r="115" spans="2:6" x14ac:dyDescent="0.35">
      <c r="B115" s="12" t="s">
        <v>72</v>
      </c>
      <c r="C115" s="21"/>
      <c r="D115" s="21">
        <f>D90+D113</f>
        <v>0</v>
      </c>
      <c r="E115" s="68">
        <f>E90+E113</f>
        <v>0</v>
      </c>
      <c r="F115" s="68">
        <f>F90+F113</f>
        <v>0</v>
      </c>
    </row>
  </sheetData>
  <sheetProtection algorithmName="SHA-512" hashValue="avplgZbcpc3PJAFD51lvxOz/z3VzpFjbyNa+MZn2LV17zkb7FZ2Mrjj9fS0CSS/8upwmlCQtNcpXhpaxvAiUIA==" saltValue="OstwYH6RP8AeXsj1PIr20g==" spinCount="100000" sheet="1" objects="1" scenarios="1"/>
  <pageMargins left="0.7" right="0.7" top="0.75" bottom="0.75" header="0.3" footer="0.3"/>
  <customProperties>
    <customPr name="isReportSheetChang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4934-8FA7-4B47-B09C-170CF1811973}">
  <dimension ref="A1:W50"/>
  <sheetViews>
    <sheetView zoomScale="60" zoomScaleNormal="60" workbookViewId="0">
      <selection activeCell="G48" sqref="G48"/>
    </sheetView>
  </sheetViews>
  <sheetFormatPr defaultRowHeight="14.5" x14ac:dyDescent="0.35"/>
  <cols>
    <col min="1" max="1" width="31.54296875" style="3" customWidth="1"/>
    <col min="2" max="2" width="28.7265625" style="3" bestFit="1" customWidth="1"/>
    <col min="3" max="3" width="21.90625" style="3" bestFit="1" customWidth="1"/>
    <col min="4" max="4" width="37.6328125" style="3" bestFit="1" customWidth="1"/>
    <col min="5" max="5" width="30.36328125" style="4" bestFit="1" customWidth="1"/>
    <col min="6" max="6" width="29.453125" style="4" bestFit="1" customWidth="1"/>
    <col min="7" max="7" width="23.26953125" style="4" bestFit="1" customWidth="1"/>
    <col min="8" max="8" width="19.453125" style="4" bestFit="1" customWidth="1"/>
    <col min="9" max="9" width="16.90625" style="4" bestFit="1" customWidth="1"/>
    <col min="10" max="10" width="25.36328125" style="4" bestFit="1" customWidth="1"/>
    <col min="11" max="11" width="19.1796875" style="4" bestFit="1" customWidth="1"/>
    <col min="12" max="12" width="19.6328125" style="4" bestFit="1" customWidth="1"/>
    <col min="13" max="13" width="15.81640625" style="3" bestFit="1" customWidth="1"/>
    <col min="14" max="14" width="36.54296875" style="3" bestFit="1" customWidth="1"/>
    <col min="15" max="17" width="37.6328125" style="4" customWidth="1"/>
    <col min="18" max="18" width="30.36328125" style="4" bestFit="1" customWidth="1"/>
    <col min="19" max="19" width="11" style="4" customWidth="1"/>
    <col min="20" max="20" width="29.7265625" style="3" customWidth="1"/>
    <col min="21" max="21" width="15.90625" style="3" customWidth="1"/>
    <col min="22" max="23" width="11.7265625" style="3" bestFit="1" customWidth="1"/>
    <col min="24" max="16384" width="8.7265625" style="3"/>
  </cols>
  <sheetData>
    <row r="1" spans="1:23" x14ac:dyDescent="0.35">
      <c r="A1" s="72" t="s">
        <v>162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</row>
    <row r="2" spans="1:23" x14ac:dyDescent="0.35">
      <c r="A2" s="37"/>
      <c r="B2" s="37"/>
      <c r="C2" s="37"/>
      <c r="D2" s="37"/>
      <c r="E2" s="38"/>
      <c r="F2" s="38"/>
      <c r="G2" s="38"/>
      <c r="H2" s="38"/>
      <c r="I2" s="38"/>
      <c r="J2" s="38"/>
      <c r="K2" s="38"/>
      <c r="L2" s="38"/>
      <c r="M2" s="37"/>
      <c r="N2" s="37"/>
      <c r="O2" s="37"/>
      <c r="P2" s="37"/>
      <c r="Q2" s="37"/>
      <c r="R2" s="37"/>
      <c r="S2" s="38"/>
      <c r="T2" s="37"/>
      <c r="U2" s="37"/>
    </row>
    <row r="3" spans="1:23" x14ac:dyDescent="0.35">
      <c r="A3" s="72" t="s">
        <v>41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38"/>
      <c r="T3" s="73" t="s">
        <v>163</v>
      </c>
      <c r="U3" s="73"/>
      <c r="V3" s="73"/>
      <c r="W3" s="73"/>
    </row>
    <row r="4" spans="1:23" s="5" customFormat="1" x14ac:dyDescent="0.35">
      <c r="A4" s="39" t="s">
        <v>52</v>
      </c>
      <c r="B4" s="39" t="s">
        <v>53</v>
      </c>
      <c r="C4" s="39" t="s">
        <v>42</v>
      </c>
      <c r="D4" s="39" t="s">
        <v>79</v>
      </c>
      <c r="E4" s="39" t="s">
        <v>80</v>
      </c>
      <c r="F4" s="39" t="s">
        <v>43</v>
      </c>
      <c r="G4" s="39" t="s">
        <v>44</v>
      </c>
      <c r="H4" s="39" t="s">
        <v>45</v>
      </c>
      <c r="I4" s="58" t="s">
        <v>57</v>
      </c>
      <c r="J4" s="58" t="s">
        <v>48</v>
      </c>
      <c r="K4" s="58" t="s">
        <v>49</v>
      </c>
      <c r="L4" s="58" t="s">
        <v>50</v>
      </c>
      <c r="M4" s="58" t="s">
        <v>51</v>
      </c>
      <c r="N4" s="58" t="s">
        <v>81</v>
      </c>
      <c r="O4" s="59" t="s">
        <v>37</v>
      </c>
      <c r="P4" s="59" t="s">
        <v>119</v>
      </c>
      <c r="Q4" s="59" t="s">
        <v>120</v>
      </c>
      <c r="R4" s="39" t="s">
        <v>38</v>
      </c>
      <c r="S4" s="40"/>
      <c r="T4" s="39" t="s">
        <v>39</v>
      </c>
      <c r="U4" s="39">
        <v>2027</v>
      </c>
      <c r="V4" s="39">
        <v>2028</v>
      </c>
      <c r="W4" s="39">
        <v>2029</v>
      </c>
    </row>
    <row r="5" spans="1:23" x14ac:dyDescent="0.35">
      <c r="A5" s="63" t="str">
        <f>IF(ISBLANK('Investment Case Asks - Monthly'!A5),"",'Investment Case Asks - Monthly'!A5)</f>
        <v/>
      </c>
      <c r="B5" s="63" t="str">
        <f>IF(ISBLANK('Investment Case Asks - Monthly'!B5),"",'Investment Case Asks - Monthly'!B5)</f>
        <v/>
      </c>
      <c r="C5" s="63" t="str">
        <f>IF(ISBLANK('Investment Case Asks - Monthly'!C5),"",'Investment Case Asks - Monthly'!C5)</f>
        <v/>
      </c>
      <c r="D5" s="64" t="str">
        <f>IF(ISBLANK('Investment Case Asks - Monthly'!D5),"",'Investment Case Asks - Monthly'!D5)</f>
        <v/>
      </c>
      <c r="E5" s="65" t="str">
        <f>IF(ISBLANK('Investment Case Asks - Monthly'!E5),"",'Investment Case Asks - Monthly'!E5)</f>
        <v/>
      </c>
      <c r="F5" s="64" t="str">
        <f>IF(ISBLANK('Investment Case Asks - Monthly'!F5),"",'Investment Case Asks - Monthly'!F5)</f>
        <v/>
      </c>
      <c r="G5" s="65" t="str">
        <f>IF(ISBLANK('Investment Case Asks - Monthly'!G5),"",'Investment Case Asks - Monthly'!G5)</f>
        <v/>
      </c>
      <c r="H5" s="66" t="str">
        <f>IF(ISBLANK('Investment Case Asks - Monthly'!H5),"",'Investment Case Asks - Monthly'!H5)</f>
        <v/>
      </c>
      <c r="I5" s="67" t="str">
        <f>IF(ISBLANK('Investment Case Asks - Monthly'!I5),"",'Investment Case Asks - Monthly'!I5)</f>
        <v/>
      </c>
      <c r="J5" s="67" t="str">
        <f>IF(ISBLANK('Investment Case Asks - Monthly'!J5),"",'Investment Case Asks - Monthly'!J5)</f>
        <v/>
      </c>
      <c r="K5" s="67" t="str">
        <f>IF(ISBLANK('Investment Case Asks - Monthly'!K5),"",'Investment Case Asks - Monthly'!K5)</f>
        <v/>
      </c>
      <c r="L5" s="67" t="str">
        <f>IF(ISBLANK('Investment Case Asks - Monthly'!L5),"",'Investment Case Asks - Monthly'!L5)</f>
        <v/>
      </c>
      <c r="M5" s="67" t="str">
        <f>IF(ISBLANK('Investment Case Asks - Monthly'!M5),"",'Investment Case Asks - Monthly'!M5)</f>
        <v/>
      </c>
      <c r="N5" s="67" t="str">
        <f>IF(ISBLANK('Investment Case Asks - Monthly'!N5),"",'Investment Case Asks - Monthly'!N5)</f>
        <v/>
      </c>
      <c r="O5" s="60" t="str">
        <f>IF(ISBLANK('Investment Case Asks - Monthly'!AA5),"",'Investment Case Asks - Monthly'!AA5)</f>
        <v/>
      </c>
      <c r="P5" s="60" t="str">
        <f>IF(ISBLANK('Investment Case Asks - Monthly'!AN5),"",'Investment Case Asks - Monthly'!AN5)</f>
        <v/>
      </c>
      <c r="Q5" s="60" t="str">
        <f>IF(ISBLANK('Investment Case Asks - Monthly'!BA5),"",'Investment Case Asks - Monthly'!BA5)</f>
        <v/>
      </c>
      <c r="R5" s="65" t="str">
        <f>IF(ISBLANK('Investment Case Asks - Monthly'!BB5),"",'Investment Case Asks - Monthly'!BB5)</f>
        <v/>
      </c>
      <c r="S5" s="38"/>
      <c r="T5" s="37" t="s">
        <v>47</v>
      </c>
      <c r="U5" s="65">
        <f>O22</f>
        <v>0</v>
      </c>
      <c r="V5" s="65">
        <f>P22</f>
        <v>0</v>
      </c>
      <c r="W5" s="65">
        <f>Q22</f>
        <v>0</v>
      </c>
    </row>
    <row r="6" spans="1:23" x14ac:dyDescent="0.35">
      <c r="A6" s="63" t="str">
        <f>IF(ISBLANK('Investment Case Asks - Monthly'!A6),"",'Investment Case Asks - Monthly'!A6)</f>
        <v/>
      </c>
      <c r="B6" s="63" t="str">
        <f>IF(ISBLANK('Investment Case Asks - Monthly'!B6),"",'Investment Case Asks - Monthly'!B6)</f>
        <v/>
      </c>
      <c r="C6" s="63" t="str">
        <f>IF(ISBLANK('Investment Case Asks - Monthly'!C6),"",'Investment Case Asks - Monthly'!C6)</f>
        <v/>
      </c>
      <c r="D6" s="64" t="str">
        <f>IF(ISBLANK('Investment Case Asks - Monthly'!D6),"",'Investment Case Asks - Monthly'!D6)</f>
        <v/>
      </c>
      <c r="E6" s="65" t="str">
        <f>IF(ISBLANK('Investment Case Asks - Monthly'!E6),"",'Investment Case Asks - Monthly'!E6)</f>
        <v/>
      </c>
      <c r="F6" s="64" t="str">
        <f>IF(ISBLANK('Investment Case Asks - Monthly'!F6),"",'Investment Case Asks - Monthly'!F6)</f>
        <v/>
      </c>
      <c r="G6" s="65" t="str">
        <f>IF(ISBLANK('Investment Case Asks - Monthly'!G6),"",'Investment Case Asks - Monthly'!G6)</f>
        <v/>
      </c>
      <c r="H6" s="66" t="str">
        <f>IF(ISBLANK('Investment Case Asks - Monthly'!H6),"",'Investment Case Asks - Monthly'!H6)</f>
        <v/>
      </c>
      <c r="I6" s="67" t="str">
        <f>IF(ISBLANK('Investment Case Asks - Monthly'!I6),"",'Investment Case Asks - Monthly'!I6)</f>
        <v/>
      </c>
      <c r="J6" s="67" t="str">
        <f>IF(ISBLANK('Investment Case Asks - Monthly'!J6),"",'Investment Case Asks - Monthly'!J6)</f>
        <v/>
      </c>
      <c r="K6" s="67" t="str">
        <f>IF(ISBLANK('Investment Case Asks - Monthly'!K6),"",'Investment Case Asks - Monthly'!K6)</f>
        <v/>
      </c>
      <c r="L6" s="67" t="str">
        <f>IF(ISBLANK('Investment Case Asks - Monthly'!L6),"",'Investment Case Asks - Monthly'!L6)</f>
        <v/>
      </c>
      <c r="M6" s="67" t="str">
        <f>IF(ISBLANK('Investment Case Asks - Monthly'!M6),"",'Investment Case Asks - Monthly'!M6)</f>
        <v/>
      </c>
      <c r="N6" s="67" t="str">
        <f>IF(ISBLANK('Investment Case Asks - Monthly'!N6),"",'Investment Case Asks - Monthly'!N6)</f>
        <v/>
      </c>
      <c r="O6" s="60" t="str">
        <f>IF(ISBLANK('Investment Case Asks - Monthly'!AA6),"",'Investment Case Asks - Monthly'!AA6)</f>
        <v/>
      </c>
      <c r="P6" s="60" t="str">
        <f>IF(ISBLANK('Investment Case Asks - Monthly'!AN6),"",'Investment Case Asks - Monthly'!AN6)</f>
        <v/>
      </c>
      <c r="Q6" s="60" t="str">
        <f>IF(ISBLANK('Investment Case Asks - Monthly'!BA6),"",'Investment Case Asks - Monthly'!BA6)</f>
        <v/>
      </c>
      <c r="R6" s="65" t="str">
        <f>IF(ISBLANK('Investment Case Asks - Monthly'!BB6),"",'Investment Case Asks - Monthly'!BB6)</f>
        <v/>
      </c>
      <c r="S6" s="38"/>
      <c r="T6" s="37" t="s">
        <v>31</v>
      </c>
      <c r="U6" s="65">
        <f>D44</f>
        <v>0</v>
      </c>
      <c r="V6" s="65">
        <f>E44</f>
        <v>0</v>
      </c>
      <c r="W6" s="65">
        <f>F44</f>
        <v>0</v>
      </c>
    </row>
    <row r="7" spans="1:23" ht="15" thickBot="1" x14ac:dyDescent="0.4">
      <c r="A7" s="63" t="str">
        <f>IF(ISBLANK('Investment Case Asks - Monthly'!A7),"",'Investment Case Asks - Monthly'!A7)</f>
        <v/>
      </c>
      <c r="B7" s="63" t="str">
        <f>IF(ISBLANK('Investment Case Asks - Monthly'!B7),"",'Investment Case Asks - Monthly'!B7)</f>
        <v/>
      </c>
      <c r="C7" s="63" t="str">
        <f>IF(ISBLANK('Investment Case Asks - Monthly'!C7),"",'Investment Case Asks - Monthly'!C7)</f>
        <v/>
      </c>
      <c r="D7" s="64" t="str">
        <f>IF(ISBLANK('Investment Case Asks - Monthly'!D7),"",'Investment Case Asks - Monthly'!D7)</f>
        <v/>
      </c>
      <c r="E7" s="65" t="str">
        <f>IF(ISBLANK('Investment Case Asks - Monthly'!E7),"",'Investment Case Asks - Monthly'!E7)</f>
        <v/>
      </c>
      <c r="F7" s="64" t="str">
        <f>IF(ISBLANK('Investment Case Asks - Monthly'!F7),"",'Investment Case Asks - Monthly'!F7)</f>
        <v/>
      </c>
      <c r="G7" s="65" t="str">
        <f>IF(ISBLANK('Investment Case Asks - Monthly'!G7),"",'Investment Case Asks - Monthly'!G7)</f>
        <v/>
      </c>
      <c r="H7" s="66" t="str">
        <f>IF(ISBLANK('Investment Case Asks - Monthly'!H7),"",'Investment Case Asks - Monthly'!H7)</f>
        <v/>
      </c>
      <c r="I7" s="67" t="str">
        <f>IF(ISBLANK('Investment Case Asks - Monthly'!I7),"",'Investment Case Asks - Monthly'!I7)</f>
        <v/>
      </c>
      <c r="J7" s="67" t="str">
        <f>IF(ISBLANK('Investment Case Asks - Monthly'!J7),"",'Investment Case Asks - Monthly'!J7)</f>
        <v/>
      </c>
      <c r="K7" s="67" t="str">
        <f>IF(ISBLANK('Investment Case Asks - Monthly'!K7),"",'Investment Case Asks - Monthly'!K7)</f>
        <v/>
      </c>
      <c r="L7" s="67" t="str">
        <f>IF(ISBLANK('Investment Case Asks - Monthly'!L7),"",'Investment Case Asks - Monthly'!L7)</f>
        <v/>
      </c>
      <c r="M7" s="67" t="str">
        <f>IF(ISBLANK('Investment Case Asks - Monthly'!M7),"",'Investment Case Asks - Monthly'!M7)</f>
        <v/>
      </c>
      <c r="N7" s="67" t="str">
        <f>IF(ISBLANK('Investment Case Asks - Monthly'!N7),"",'Investment Case Asks - Monthly'!N7)</f>
        <v/>
      </c>
      <c r="O7" s="60" t="str">
        <f>IF(ISBLANK('Investment Case Asks - Monthly'!AA7),"",'Investment Case Asks - Monthly'!AA7)</f>
        <v/>
      </c>
      <c r="P7" s="60" t="str">
        <f>IF(ISBLANK('Investment Case Asks - Monthly'!AN7),"",'Investment Case Asks - Monthly'!AN7)</f>
        <v/>
      </c>
      <c r="Q7" s="60" t="str">
        <f>IF(ISBLANK('Investment Case Asks - Monthly'!BA7),"",'Investment Case Asks - Monthly'!BA7)</f>
        <v/>
      </c>
      <c r="R7" s="65" t="str">
        <f>IF(ISBLANK('Investment Case Asks - Monthly'!BB7),"",'Investment Case Asks - Monthly'!BB7)</f>
        <v/>
      </c>
      <c r="S7" s="38"/>
      <c r="T7" s="45" t="s">
        <v>40</v>
      </c>
      <c r="U7" s="46">
        <f>SUM(U5:U6)</f>
        <v>0</v>
      </c>
      <c r="V7" s="46">
        <f>SUM(V5:V6)</f>
        <v>0</v>
      </c>
      <c r="W7" s="46">
        <f>SUM(W5:W6)</f>
        <v>0</v>
      </c>
    </row>
    <row r="8" spans="1:23" ht="15" thickTop="1" x14ac:dyDescent="0.35">
      <c r="A8" s="63" t="str">
        <f>IF(ISBLANK('Investment Case Asks - Monthly'!A8),"",'Investment Case Asks - Monthly'!A8)</f>
        <v/>
      </c>
      <c r="B8" s="63" t="str">
        <f>IF(ISBLANK('Investment Case Asks - Monthly'!B8),"",'Investment Case Asks - Monthly'!B8)</f>
        <v/>
      </c>
      <c r="C8" s="63" t="str">
        <f>IF(ISBLANK('Investment Case Asks - Monthly'!C8),"",'Investment Case Asks - Monthly'!C8)</f>
        <v/>
      </c>
      <c r="D8" s="64" t="str">
        <f>IF(ISBLANK('Investment Case Asks - Monthly'!D8),"",'Investment Case Asks - Monthly'!D8)</f>
        <v/>
      </c>
      <c r="E8" s="65" t="str">
        <f>IF(ISBLANK('Investment Case Asks - Monthly'!E8),"",'Investment Case Asks - Monthly'!E8)</f>
        <v/>
      </c>
      <c r="F8" s="64" t="str">
        <f>IF(ISBLANK('Investment Case Asks - Monthly'!F8),"",'Investment Case Asks - Monthly'!F8)</f>
        <v/>
      </c>
      <c r="G8" s="65" t="str">
        <f>IF(ISBLANK('Investment Case Asks - Monthly'!G8),"",'Investment Case Asks - Monthly'!G8)</f>
        <v/>
      </c>
      <c r="H8" s="66" t="str">
        <f>IF(ISBLANK('Investment Case Asks - Monthly'!H8),"",'Investment Case Asks - Monthly'!H8)</f>
        <v/>
      </c>
      <c r="I8" s="67" t="str">
        <f>IF(ISBLANK('Investment Case Asks - Monthly'!I8),"",'Investment Case Asks - Monthly'!I8)</f>
        <v/>
      </c>
      <c r="J8" s="67" t="str">
        <f>IF(ISBLANK('Investment Case Asks - Monthly'!J8),"",'Investment Case Asks - Monthly'!J8)</f>
        <v/>
      </c>
      <c r="K8" s="67" t="str">
        <f>IF(ISBLANK('Investment Case Asks - Monthly'!K8),"",'Investment Case Asks - Monthly'!K8)</f>
        <v/>
      </c>
      <c r="L8" s="67" t="str">
        <f>IF(ISBLANK('Investment Case Asks - Monthly'!L8),"",'Investment Case Asks - Monthly'!L8)</f>
        <v/>
      </c>
      <c r="M8" s="67" t="str">
        <f>IF(ISBLANK('Investment Case Asks - Monthly'!M8),"",'Investment Case Asks - Monthly'!M8)</f>
        <v/>
      </c>
      <c r="N8" s="67" t="str">
        <f>IF(ISBLANK('Investment Case Asks - Monthly'!N8),"",'Investment Case Asks - Monthly'!N8)</f>
        <v/>
      </c>
      <c r="O8" s="60" t="str">
        <f>IF(ISBLANK('Investment Case Asks - Monthly'!AA8),"",'Investment Case Asks - Monthly'!AA8)</f>
        <v/>
      </c>
      <c r="P8" s="60" t="str">
        <f>IF(ISBLANK('Investment Case Asks - Monthly'!AN8),"",'Investment Case Asks - Monthly'!AN8)</f>
        <v/>
      </c>
      <c r="Q8" s="60" t="str">
        <f>IF(ISBLANK('Investment Case Asks - Monthly'!BA8),"",'Investment Case Asks - Monthly'!BA8)</f>
        <v/>
      </c>
      <c r="R8" s="65" t="str">
        <f>IF(ISBLANK('Investment Case Asks - Monthly'!BB8),"",'Investment Case Asks - Monthly'!BB8)</f>
        <v/>
      </c>
      <c r="S8" s="38"/>
      <c r="T8" s="37"/>
      <c r="U8" s="38"/>
    </row>
    <row r="9" spans="1:23" x14ac:dyDescent="0.35">
      <c r="A9" s="63" t="str">
        <f>IF(ISBLANK('Investment Case Asks - Monthly'!A9),"",'Investment Case Asks - Monthly'!A9)</f>
        <v/>
      </c>
      <c r="B9" s="63" t="str">
        <f>IF(ISBLANK('Investment Case Asks - Monthly'!B9),"",'Investment Case Asks - Monthly'!B9)</f>
        <v/>
      </c>
      <c r="C9" s="63" t="str">
        <f>IF(ISBLANK('Investment Case Asks - Monthly'!C9),"",'Investment Case Asks - Monthly'!C9)</f>
        <v/>
      </c>
      <c r="D9" s="64" t="str">
        <f>IF(ISBLANK('Investment Case Asks - Monthly'!D9),"",'Investment Case Asks - Monthly'!D9)</f>
        <v/>
      </c>
      <c r="E9" s="65" t="str">
        <f>IF(ISBLANK('Investment Case Asks - Monthly'!E9),"",'Investment Case Asks - Monthly'!E9)</f>
        <v/>
      </c>
      <c r="F9" s="64" t="str">
        <f>IF(ISBLANK('Investment Case Asks - Monthly'!F9),"",'Investment Case Asks - Monthly'!F9)</f>
        <v/>
      </c>
      <c r="G9" s="65" t="str">
        <f>IF(ISBLANK('Investment Case Asks - Monthly'!G9),"",'Investment Case Asks - Monthly'!G9)</f>
        <v/>
      </c>
      <c r="H9" s="66" t="str">
        <f>IF(ISBLANK('Investment Case Asks - Monthly'!H9),"",'Investment Case Asks - Monthly'!H9)</f>
        <v/>
      </c>
      <c r="I9" s="67" t="str">
        <f>IF(ISBLANK('Investment Case Asks - Monthly'!I9),"",'Investment Case Asks - Monthly'!I9)</f>
        <v/>
      </c>
      <c r="J9" s="67" t="str">
        <f>IF(ISBLANK('Investment Case Asks - Monthly'!J9),"",'Investment Case Asks - Monthly'!J9)</f>
        <v/>
      </c>
      <c r="K9" s="67" t="str">
        <f>IF(ISBLANK('Investment Case Asks - Monthly'!K9),"",'Investment Case Asks - Monthly'!K9)</f>
        <v/>
      </c>
      <c r="L9" s="67" t="str">
        <f>IF(ISBLANK('Investment Case Asks - Monthly'!L9),"",'Investment Case Asks - Monthly'!L9)</f>
        <v/>
      </c>
      <c r="M9" s="67" t="str">
        <f>IF(ISBLANK('Investment Case Asks - Monthly'!M9),"",'Investment Case Asks - Monthly'!M9)</f>
        <v/>
      </c>
      <c r="N9" s="67" t="str">
        <f>IF(ISBLANK('Investment Case Asks - Monthly'!N9),"",'Investment Case Asks - Monthly'!N9)</f>
        <v/>
      </c>
      <c r="O9" s="60" t="str">
        <f>IF(ISBLANK('Investment Case Asks - Monthly'!AA9),"",'Investment Case Asks - Monthly'!AA9)</f>
        <v/>
      </c>
      <c r="P9" s="60" t="str">
        <f>IF(ISBLANK('Investment Case Asks - Monthly'!AN9),"",'Investment Case Asks - Monthly'!AN9)</f>
        <v/>
      </c>
      <c r="Q9" s="60" t="str">
        <f>IF(ISBLANK('Investment Case Asks - Monthly'!BA9),"",'Investment Case Asks - Monthly'!BA9)</f>
        <v/>
      </c>
      <c r="R9" s="65" t="str">
        <f>IF(ISBLANK('Investment Case Asks - Monthly'!BB9),"",'Investment Case Asks - Monthly'!BB9)</f>
        <v/>
      </c>
      <c r="S9" s="38"/>
      <c r="T9" s="37"/>
      <c r="U9" s="38"/>
    </row>
    <row r="10" spans="1:23" x14ac:dyDescent="0.35">
      <c r="A10" s="63" t="str">
        <f>IF(ISBLANK('Investment Case Asks - Monthly'!A10),"",'Investment Case Asks - Monthly'!A10)</f>
        <v/>
      </c>
      <c r="B10" s="63" t="str">
        <f>IF(ISBLANK('Investment Case Asks - Monthly'!B10),"",'Investment Case Asks - Monthly'!B10)</f>
        <v/>
      </c>
      <c r="C10" s="63" t="str">
        <f>IF(ISBLANK('Investment Case Asks - Monthly'!C10),"",'Investment Case Asks - Monthly'!C10)</f>
        <v/>
      </c>
      <c r="D10" s="64" t="str">
        <f>IF(ISBLANK('Investment Case Asks - Monthly'!D10),"",'Investment Case Asks - Monthly'!D10)</f>
        <v/>
      </c>
      <c r="E10" s="65" t="str">
        <f>IF(ISBLANK('Investment Case Asks - Monthly'!E10),"",'Investment Case Asks - Monthly'!E10)</f>
        <v/>
      </c>
      <c r="F10" s="64" t="str">
        <f>IF(ISBLANK('Investment Case Asks - Monthly'!F10),"",'Investment Case Asks - Monthly'!F10)</f>
        <v/>
      </c>
      <c r="G10" s="65" t="str">
        <f>IF(ISBLANK('Investment Case Asks - Monthly'!G10),"",'Investment Case Asks - Monthly'!G10)</f>
        <v/>
      </c>
      <c r="H10" s="66" t="str">
        <f>IF(ISBLANK('Investment Case Asks - Monthly'!H10),"",'Investment Case Asks - Monthly'!H10)</f>
        <v/>
      </c>
      <c r="I10" s="67" t="str">
        <f>IF(ISBLANK('Investment Case Asks - Monthly'!I10),"",'Investment Case Asks - Monthly'!I10)</f>
        <v/>
      </c>
      <c r="J10" s="67" t="str">
        <f>IF(ISBLANK('Investment Case Asks - Monthly'!J10),"",'Investment Case Asks - Monthly'!J10)</f>
        <v/>
      </c>
      <c r="K10" s="67" t="str">
        <f>IF(ISBLANK('Investment Case Asks - Monthly'!K10),"",'Investment Case Asks - Monthly'!K10)</f>
        <v/>
      </c>
      <c r="L10" s="67" t="str">
        <f>IF(ISBLANK('Investment Case Asks - Monthly'!L10),"",'Investment Case Asks - Monthly'!L10)</f>
        <v/>
      </c>
      <c r="M10" s="67" t="str">
        <f>IF(ISBLANK('Investment Case Asks - Monthly'!M10),"",'Investment Case Asks - Monthly'!M10)</f>
        <v/>
      </c>
      <c r="N10" s="67" t="str">
        <f>IF(ISBLANK('Investment Case Asks - Monthly'!N10),"",'Investment Case Asks - Monthly'!N10)</f>
        <v/>
      </c>
      <c r="O10" s="60" t="str">
        <f>IF(ISBLANK('Investment Case Asks - Monthly'!AA10),"",'Investment Case Asks - Monthly'!AA10)</f>
        <v/>
      </c>
      <c r="P10" s="60" t="str">
        <f>IF(ISBLANK('Investment Case Asks - Monthly'!AN10),"",'Investment Case Asks - Monthly'!AN10)</f>
        <v/>
      </c>
      <c r="Q10" s="60" t="str">
        <f>IF(ISBLANK('Investment Case Asks - Monthly'!BA10),"",'Investment Case Asks - Monthly'!BA10)</f>
        <v/>
      </c>
      <c r="R10" s="65" t="str">
        <f>IF(ISBLANK('Investment Case Asks - Monthly'!BB10),"",'Investment Case Asks - Monthly'!BB10)</f>
        <v/>
      </c>
      <c r="S10" s="38"/>
      <c r="T10" s="37"/>
      <c r="U10" s="38"/>
    </row>
    <row r="11" spans="1:23" x14ac:dyDescent="0.35">
      <c r="A11" s="63" t="str">
        <f>IF(ISBLANK('Investment Case Asks - Monthly'!A11),"",'Investment Case Asks - Monthly'!A11)</f>
        <v/>
      </c>
      <c r="B11" s="63" t="str">
        <f>IF(ISBLANK('Investment Case Asks - Monthly'!B11),"",'Investment Case Asks - Monthly'!B11)</f>
        <v/>
      </c>
      <c r="C11" s="63" t="str">
        <f>IF(ISBLANK('Investment Case Asks - Monthly'!C11),"",'Investment Case Asks - Monthly'!C11)</f>
        <v/>
      </c>
      <c r="D11" s="64" t="str">
        <f>IF(ISBLANK('Investment Case Asks - Monthly'!D11),"",'Investment Case Asks - Monthly'!D11)</f>
        <v/>
      </c>
      <c r="E11" s="65" t="str">
        <f>IF(ISBLANK('Investment Case Asks - Monthly'!E11),"",'Investment Case Asks - Monthly'!E11)</f>
        <v/>
      </c>
      <c r="F11" s="64" t="str">
        <f>IF(ISBLANK('Investment Case Asks - Monthly'!F11),"",'Investment Case Asks - Monthly'!F11)</f>
        <v/>
      </c>
      <c r="G11" s="65" t="str">
        <f>IF(ISBLANK('Investment Case Asks - Monthly'!G11),"",'Investment Case Asks - Monthly'!G11)</f>
        <v/>
      </c>
      <c r="H11" s="66" t="str">
        <f>IF(ISBLANK('Investment Case Asks - Monthly'!H11),"",'Investment Case Asks - Monthly'!H11)</f>
        <v/>
      </c>
      <c r="I11" s="67" t="str">
        <f>IF(ISBLANK('Investment Case Asks - Monthly'!I11),"",'Investment Case Asks - Monthly'!I11)</f>
        <v/>
      </c>
      <c r="J11" s="67" t="str">
        <f>IF(ISBLANK('Investment Case Asks - Monthly'!J11),"",'Investment Case Asks - Monthly'!J11)</f>
        <v/>
      </c>
      <c r="K11" s="67" t="str">
        <f>IF(ISBLANK('Investment Case Asks - Monthly'!K11),"",'Investment Case Asks - Monthly'!K11)</f>
        <v/>
      </c>
      <c r="L11" s="67" t="str">
        <f>IF(ISBLANK('Investment Case Asks - Monthly'!L11),"",'Investment Case Asks - Monthly'!L11)</f>
        <v/>
      </c>
      <c r="M11" s="67" t="str">
        <f>IF(ISBLANK('Investment Case Asks - Monthly'!M11),"",'Investment Case Asks - Monthly'!M11)</f>
        <v/>
      </c>
      <c r="N11" s="67" t="str">
        <f>IF(ISBLANK('Investment Case Asks - Monthly'!N11),"",'Investment Case Asks - Monthly'!N11)</f>
        <v/>
      </c>
      <c r="O11" s="60" t="str">
        <f>IF(ISBLANK('Investment Case Asks - Monthly'!AA11),"",'Investment Case Asks - Monthly'!AA11)</f>
        <v/>
      </c>
      <c r="P11" s="60" t="str">
        <f>IF(ISBLANK('Investment Case Asks - Monthly'!AN11),"",'Investment Case Asks - Monthly'!AN11)</f>
        <v/>
      </c>
      <c r="Q11" s="60" t="str">
        <f>IF(ISBLANK('Investment Case Asks - Monthly'!BA11),"",'Investment Case Asks - Monthly'!BA11)</f>
        <v/>
      </c>
      <c r="R11" s="65" t="str">
        <f>IF(ISBLANK('Investment Case Asks - Monthly'!BB11),"",'Investment Case Asks - Monthly'!BB11)</f>
        <v/>
      </c>
      <c r="S11" s="38"/>
      <c r="T11" s="37"/>
      <c r="U11" s="38"/>
    </row>
    <row r="12" spans="1:23" x14ac:dyDescent="0.35">
      <c r="A12" s="63" t="str">
        <f>IF(ISBLANK('Investment Case Asks - Monthly'!A12),"",'Investment Case Asks - Monthly'!A12)</f>
        <v/>
      </c>
      <c r="B12" s="63" t="str">
        <f>IF(ISBLANK('Investment Case Asks - Monthly'!B12),"",'Investment Case Asks - Monthly'!B12)</f>
        <v/>
      </c>
      <c r="C12" s="63" t="str">
        <f>IF(ISBLANK('Investment Case Asks - Monthly'!C12),"",'Investment Case Asks - Monthly'!C12)</f>
        <v/>
      </c>
      <c r="D12" s="64" t="str">
        <f>IF(ISBLANK('Investment Case Asks - Monthly'!D12),"",'Investment Case Asks - Monthly'!D12)</f>
        <v/>
      </c>
      <c r="E12" s="65" t="str">
        <f>IF(ISBLANK('Investment Case Asks - Monthly'!E12),"",'Investment Case Asks - Monthly'!E12)</f>
        <v/>
      </c>
      <c r="F12" s="64" t="str">
        <f>IF(ISBLANK('Investment Case Asks - Monthly'!F12),"",'Investment Case Asks - Monthly'!F12)</f>
        <v/>
      </c>
      <c r="G12" s="65" t="str">
        <f>IF(ISBLANK('Investment Case Asks - Monthly'!G12),"",'Investment Case Asks - Monthly'!G12)</f>
        <v/>
      </c>
      <c r="H12" s="66" t="str">
        <f>IF(ISBLANK('Investment Case Asks - Monthly'!H12),"",'Investment Case Asks - Monthly'!H12)</f>
        <v/>
      </c>
      <c r="I12" s="67" t="str">
        <f>IF(ISBLANK('Investment Case Asks - Monthly'!I12),"",'Investment Case Asks - Monthly'!I12)</f>
        <v/>
      </c>
      <c r="J12" s="67" t="str">
        <f>IF(ISBLANK('Investment Case Asks - Monthly'!J12),"",'Investment Case Asks - Monthly'!J12)</f>
        <v/>
      </c>
      <c r="K12" s="67" t="str">
        <f>IF(ISBLANK('Investment Case Asks - Monthly'!K12),"",'Investment Case Asks - Monthly'!K12)</f>
        <v/>
      </c>
      <c r="L12" s="67" t="str">
        <f>IF(ISBLANK('Investment Case Asks - Monthly'!L12),"",'Investment Case Asks - Monthly'!L12)</f>
        <v/>
      </c>
      <c r="M12" s="67" t="str">
        <f>IF(ISBLANK('Investment Case Asks - Monthly'!M12),"",'Investment Case Asks - Monthly'!M12)</f>
        <v/>
      </c>
      <c r="N12" s="67" t="str">
        <f>IF(ISBLANK('Investment Case Asks - Monthly'!N12),"",'Investment Case Asks - Monthly'!N12)</f>
        <v/>
      </c>
      <c r="O12" s="60" t="str">
        <f>IF(ISBLANK('Investment Case Asks - Monthly'!AA12),"",'Investment Case Asks - Monthly'!AA12)</f>
        <v/>
      </c>
      <c r="P12" s="60" t="str">
        <f>IF(ISBLANK('Investment Case Asks - Monthly'!AN12),"",'Investment Case Asks - Monthly'!AN12)</f>
        <v/>
      </c>
      <c r="Q12" s="60" t="str">
        <f>IF(ISBLANK('Investment Case Asks - Monthly'!BA12),"",'Investment Case Asks - Monthly'!BA12)</f>
        <v/>
      </c>
      <c r="R12" s="65" t="str">
        <f>IF(ISBLANK('Investment Case Asks - Monthly'!BB12),"",'Investment Case Asks - Monthly'!BB12)</f>
        <v/>
      </c>
      <c r="S12" s="38"/>
      <c r="T12" s="37"/>
      <c r="U12" s="38"/>
    </row>
    <row r="13" spans="1:23" x14ac:dyDescent="0.35">
      <c r="A13" s="63" t="str">
        <f>IF(ISBLANK('Investment Case Asks - Monthly'!A13),"",'Investment Case Asks - Monthly'!A13)</f>
        <v/>
      </c>
      <c r="B13" s="63" t="str">
        <f>IF(ISBLANK('Investment Case Asks - Monthly'!B13),"",'Investment Case Asks - Monthly'!B13)</f>
        <v/>
      </c>
      <c r="C13" s="63" t="str">
        <f>IF(ISBLANK('Investment Case Asks - Monthly'!C13),"",'Investment Case Asks - Monthly'!C13)</f>
        <v/>
      </c>
      <c r="D13" s="64" t="str">
        <f>IF(ISBLANK('Investment Case Asks - Monthly'!D13),"",'Investment Case Asks - Monthly'!D13)</f>
        <v/>
      </c>
      <c r="E13" s="65" t="str">
        <f>IF(ISBLANK('Investment Case Asks - Monthly'!E13),"",'Investment Case Asks - Monthly'!E13)</f>
        <v/>
      </c>
      <c r="F13" s="64" t="str">
        <f>IF(ISBLANK('Investment Case Asks - Monthly'!F13),"",'Investment Case Asks - Monthly'!F13)</f>
        <v/>
      </c>
      <c r="G13" s="65" t="str">
        <f>IF(ISBLANK('Investment Case Asks - Monthly'!G13),"",'Investment Case Asks - Monthly'!G13)</f>
        <v/>
      </c>
      <c r="H13" s="66" t="str">
        <f>IF(ISBLANK('Investment Case Asks - Monthly'!H13),"",'Investment Case Asks - Monthly'!H13)</f>
        <v/>
      </c>
      <c r="I13" s="67" t="str">
        <f>IF(ISBLANK('Investment Case Asks - Monthly'!I13),"",'Investment Case Asks - Monthly'!I13)</f>
        <v/>
      </c>
      <c r="J13" s="67" t="str">
        <f>IF(ISBLANK('Investment Case Asks - Monthly'!J13),"",'Investment Case Asks - Monthly'!J13)</f>
        <v/>
      </c>
      <c r="K13" s="67" t="str">
        <f>IF(ISBLANK('Investment Case Asks - Monthly'!K13),"",'Investment Case Asks - Monthly'!K13)</f>
        <v/>
      </c>
      <c r="L13" s="67" t="str">
        <f>IF(ISBLANK('Investment Case Asks - Monthly'!L13),"",'Investment Case Asks - Monthly'!L13)</f>
        <v/>
      </c>
      <c r="M13" s="67" t="str">
        <f>IF(ISBLANK('Investment Case Asks - Monthly'!M13),"",'Investment Case Asks - Monthly'!M13)</f>
        <v/>
      </c>
      <c r="N13" s="67" t="str">
        <f>IF(ISBLANK('Investment Case Asks - Monthly'!N13),"",'Investment Case Asks - Monthly'!N13)</f>
        <v/>
      </c>
      <c r="O13" s="60" t="str">
        <f>IF(ISBLANK('Investment Case Asks - Monthly'!AA13),"",'Investment Case Asks - Monthly'!AA13)</f>
        <v/>
      </c>
      <c r="P13" s="60" t="str">
        <f>IF(ISBLANK('Investment Case Asks - Monthly'!AN13),"",'Investment Case Asks - Monthly'!AN13)</f>
        <v/>
      </c>
      <c r="Q13" s="60" t="str">
        <f>IF(ISBLANK('Investment Case Asks - Monthly'!BA13),"",'Investment Case Asks - Monthly'!BA13)</f>
        <v/>
      </c>
      <c r="R13" s="65" t="str">
        <f>IF(ISBLANK('Investment Case Asks - Monthly'!BB13),"",'Investment Case Asks - Monthly'!BB13)</f>
        <v/>
      </c>
      <c r="S13" s="38"/>
      <c r="T13" s="37"/>
      <c r="U13" s="38"/>
    </row>
    <row r="14" spans="1:23" x14ac:dyDescent="0.35">
      <c r="A14" s="63" t="str">
        <f>IF(ISBLANK('Investment Case Asks - Monthly'!A14),"",'Investment Case Asks - Monthly'!A14)</f>
        <v/>
      </c>
      <c r="B14" s="63" t="str">
        <f>IF(ISBLANK('Investment Case Asks - Monthly'!B14),"",'Investment Case Asks - Monthly'!B14)</f>
        <v/>
      </c>
      <c r="C14" s="63" t="str">
        <f>IF(ISBLANK('Investment Case Asks - Monthly'!C14),"",'Investment Case Asks - Monthly'!C14)</f>
        <v/>
      </c>
      <c r="D14" s="64" t="str">
        <f>IF(ISBLANK('Investment Case Asks - Monthly'!D14),"",'Investment Case Asks - Monthly'!D14)</f>
        <v/>
      </c>
      <c r="E14" s="65" t="str">
        <f>IF(ISBLANK('Investment Case Asks - Monthly'!E14),"",'Investment Case Asks - Monthly'!E14)</f>
        <v/>
      </c>
      <c r="F14" s="64" t="str">
        <f>IF(ISBLANK('Investment Case Asks - Monthly'!F14),"",'Investment Case Asks - Monthly'!F14)</f>
        <v/>
      </c>
      <c r="G14" s="65" t="str">
        <f>IF(ISBLANK('Investment Case Asks - Monthly'!G14),"",'Investment Case Asks - Monthly'!G14)</f>
        <v/>
      </c>
      <c r="H14" s="66" t="str">
        <f>IF(ISBLANK('Investment Case Asks - Monthly'!H14),"",'Investment Case Asks - Monthly'!H14)</f>
        <v/>
      </c>
      <c r="I14" s="67" t="str">
        <f>IF(ISBLANK('Investment Case Asks - Monthly'!I14),"",'Investment Case Asks - Monthly'!I14)</f>
        <v/>
      </c>
      <c r="J14" s="67" t="str">
        <f>IF(ISBLANK('Investment Case Asks - Monthly'!J14),"",'Investment Case Asks - Monthly'!J14)</f>
        <v/>
      </c>
      <c r="K14" s="67" t="str">
        <f>IF(ISBLANK('Investment Case Asks - Monthly'!K14),"",'Investment Case Asks - Monthly'!K14)</f>
        <v/>
      </c>
      <c r="L14" s="67" t="str">
        <f>IF(ISBLANK('Investment Case Asks - Monthly'!L14),"",'Investment Case Asks - Monthly'!L14)</f>
        <v/>
      </c>
      <c r="M14" s="67" t="str">
        <f>IF(ISBLANK('Investment Case Asks - Monthly'!M14),"",'Investment Case Asks - Monthly'!M14)</f>
        <v/>
      </c>
      <c r="N14" s="67" t="str">
        <f>IF(ISBLANK('Investment Case Asks - Monthly'!N14),"",'Investment Case Asks - Monthly'!N14)</f>
        <v/>
      </c>
      <c r="O14" s="60" t="str">
        <f>IF(ISBLANK('Investment Case Asks - Monthly'!AA14),"",'Investment Case Asks - Monthly'!AA14)</f>
        <v/>
      </c>
      <c r="P14" s="60" t="str">
        <f>IF(ISBLANK('Investment Case Asks - Monthly'!AN14),"",'Investment Case Asks - Monthly'!AN14)</f>
        <v/>
      </c>
      <c r="Q14" s="60" t="str">
        <f>IF(ISBLANK('Investment Case Asks - Monthly'!BA14),"",'Investment Case Asks - Monthly'!BA14)</f>
        <v/>
      </c>
      <c r="R14" s="65" t="str">
        <f>IF(ISBLANK('Investment Case Asks - Monthly'!BB14),"",'Investment Case Asks - Monthly'!BB14)</f>
        <v/>
      </c>
      <c r="S14" s="38"/>
      <c r="T14" s="37"/>
      <c r="U14" s="38"/>
    </row>
    <row r="15" spans="1:23" x14ac:dyDescent="0.35">
      <c r="A15" s="63" t="str">
        <f>IF(ISBLANK('Investment Case Asks - Monthly'!A15),"",'Investment Case Asks - Monthly'!A15)</f>
        <v/>
      </c>
      <c r="B15" s="63" t="str">
        <f>IF(ISBLANK('Investment Case Asks - Monthly'!B15),"",'Investment Case Asks - Monthly'!B15)</f>
        <v/>
      </c>
      <c r="C15" s="63" t="str">
        <f>IF(ISBLANK('Investment Case Asks - Monthly'!C15),"",'Investment Case Asks - Monthly'!C15)</f>
        <v/>
      </c>
      <c r="D15" s="64" t="str">
        <f>IF(ISBLANK('Investment Case Asks - Monthly'!D15),"",'Investment Case Asks - Monthly'!D15)</f>
        <v/>
      </c>
      <c r="E15" s="65" t="str">
        <f>IF(ISBLANK('Investment Case Asks - Monthly'!E15),"",'Investment Case Asks - Monthly'!E15)</f>
        <v/>
      </c>
      <c r="F15" s="64" t="str">
        <f>IF(ISBLANK('Investment Case Asks - Monthly'!F15),"",'Investment Case Asks - Monthly'!F15)</f>
        <v/>
      </c>
      <c r="G15" s="65" t="str">
        <f>IF(ISBLANK('Investment Case Asks - Monthly'!G15),"",'Investment Case Asks - Monthly'!G15)</f>
        <v/>
      </c>
      <c r="H15" s="66" t="str">
        <f>IF(ISBLANK('Investment Case Asks - Monthly'!H15),"",'Investment Case Asks - Monthly'!H15)</f>
        <v/>
      </c>
      <c r="I15" s="67" t="str">
        <f>IF(ISBLANK('Investment Case Asks - Monthly'!I15),"",'Investment Case Asks - Monthly'!I15)</f>
        <v/>
      </c>
      <c r="J15" s="67" t="str">
        <f>IF(ISBLANK('Investment Case Asks - Monthly'!J15),"",'Investment Case Asks - Monthly'!J15)</f>
        <v/>
      </c>
      <c r="K15" s="67" t="str">
        <f>IF(ISBLANK('Investment Case Asks - Monthly'!K15),"",'Investment Case Asks - Monthly'!K15)</f>
        <v/>
      </c>
      <c r="L15" s="67" t="str">
        <f>IF(ISBLANK('Investment Case Asks - Monthly'!L15),"",'Investment Case Asks - Monthly'!L15)</f>
        <v/>
      </c>
      <c r="M15" s="67" t="str">
        <f>IF(ISBLANK('Investment Case Asks - Monthly'!M15),"",'Investment Case Asks - Monthly'!M15)</f>
        <v/>
      </c>
      <c r="N15" s="67" t="str">
        <f>IF(ISBLANK('Investment Case Asks - Monthly'!N15),"",'Investment Case Asks - Monthly'!N15)</f>
        <v/>
      </c>
      <c r="O15" s="60" t="str">
        <f>IF(ISBLANK('Investment Case Asks - Monthly'!AA15),"",'Investment Case Asks - Monthly'!AA15)</f>
        <v/>
      </c>
      <c r="P15" s="60" t="str">
        <f>IF(ISBLANK('Investment Case Asks - Monthly'!AN15),"",'Investment Case Asks - Monthly'!AN15)</f>
        <v/>
      </c>
      <c r="Q15" s="60" t="str">
        <f>IF(ISBLANK('Investment Case Asks - Monthly'!BA15),"",'Investment Case Asks - Monthly'!BA15)</f>
        <v/>
      </c>
      <c r="R15" s="65" t="str">
        <f>IF(ISBLANK('Investment Case Asks - Monthly'!BB15),"",'Investment Case Asks - Monthly'!BB15)</f>
        <v/>
      </c>
      <c r="S15" s="38"/>
      <c r="T15" s="37"/>
      <c r="U15" s="38"/>
    </row>
    <row r="16" spans="1:23" x14ac:dyDescent="0.35">
      <c r="A16" s="63" t="str">
        <f>IF(ISBLANK('Investment Case Asks - Monthly'!A16),"",'Investment Case Asks - Monthly'!A16)</f>
        <v/>
      </c>
      <c r="B16" s="63" t="str">
        <f>IF(ISBLANK('Investment Case Asks - Monthly'!B16),"",'Investment Case Asks - Monthly'!B16)</f>
        <v/>
      </c>
      <c r="C16" s="63" t="str">
        <f>IF(ISBLANK('Investment Case Asks - Monthly'!C16),"",'Investment Case Asks - Monthly'!C16)</f>
        <v/>
      </c>
      <c r="D16" s="64" t="str">
        <f>IF(ISBLANK('Investment Case Asks - Monthly'!D16),"",'Investment Case Asks - Monthly'!D16)</f>
        <v/>
      </c>
      <c r="E16" s="65" t="str">
        <f>IF(ISBLANK('Investment Case Asks - Monthly'!E16),"",'Investment Case Asks - Monthly'!E16)</f>
        <v/>
      </c>
      <c r="F16" s="64" t="str">
        <f>IF(ISBLANK('Investment Case Asks - Monthly'!F16),"",'Investment Case Asks - Monthly'!F16)</f>
        <v/>
      </c>
      <c r="G16" s="65" t="str">
        <f>IF(ISBLANK('Investment Case Asks - Monthly'!G16),"",'Investment Case Asks - Monthly'!G16)</f>
        <v/>
      </c>
      <c r="H16" s="66" t="str">
        <f>IF(ISBLANK('Investment Case Asks - Monthly'!H16),"",'Investment Case Asks - Monthly'!H16)</f>
        <v/>
      </c>
      <c r="I16" s="67" t="str">
        <f>IF(ISBLANK('Investment Case Asks - Monthly'!I16),"",'Investment Case Asks - Monthly'!I16)</f>
        <v/>
      </c>
      <c r="J16" s="67" t="str">
        <f>IF(ISBLANK('Investment Case Asks - Monthly'!J16),"",'Investment Case Asks - Monthly'!J16)</f>
        <v/>
      </c>
      <c r="K16" s="67" t="str">
        <f>IF(ISBLANK('Investment Case Asks - Monthly'!K16),"",'Investment Case Asks - Monthly'!K16)</f>
        <v/>
      </c>
      <c r="L16" s="67" t="str">
        <f>IF(ISBLANK('Investment Case Asks - Monthly'!L16),"",'Investment Case Asks - Monthly'!L16)</f>
        <v/>
      </c>
      <c r="M16" s="67" t="str">
        <f>IF(ISBLANK('Investment Case Asks - Monthly'!M16),"",'Investment Case Asks - Monthly'!M16)</f>
        <v/>
      </c>
      <c r="N16" s="67" t="str">
        <f>IF(ISBLANK('Investment Case Asks - Monthly'!N16),"",'Investment Case Asks - Monthly'!N16)</f>
        <v/>
      </c>
      <c r="O16" s="60" t="str">
        <f>IF(ISBLANK('Investment Case Asks - Monthly'!AA16),"",'Investment Case Asks - Monthly'!AA16)</f>
        <v/>
      </c>
      <c r="P16" s="60" t="str">
        <f>IF(ISBLANK('Investment Case Asks - Monthly'!AN16),"",'Investment Case Asks - Monthly'!AN16)</f>
        <v/>
      </c>
      <c r="Q16" s="60" t="str">
        <f>IF(ISBLANK('Investment Case Asks - Monthly'!BA16),"",'Investment Case Asks - Monthly'!BA16)</f>
        <v/>
      </c>
      <c r="R16" s="65" t="str">
        <f>IF(ISBLANK('Investment Case Asks - Monthly'!BB16),"",'Investment Case Asks - Monthly'!BB16)</f>
        <v/>
      </c>
      <c r="S16" s="38"/>
      <c r="T16" s="37"/>
      <c r="U16" s="38"/>
    </row>
    <row r="17" spans="1:21" x14ac:dyDescent="0.35">
      <c r="A17" s="63" t="str">
        <f>IF(ISBLANK('Investment Case Asks - Monthly'!A17),"",'Investment Case Asks - Monthly'!A17)</f>
        <v/>
      </c>
      <c r="B17" s="63" t="str">
        <f>IF(ISBLANK('Investment Case Asks - Monthly'!B17),"",'Investment Case Asks - Monthly'!B17)</f>
        <v/>
      </c>
      <c r="C17" s="63" t="str">
        <f>IF(ISBLANK('Investment Case Asks - Monthly'!C17),"",'Investment Case Asks - Monthly'!C17)</f>
        <v/>
      </c>
      <c r="D17" s="64" t="str">
        <f>IF(ISBLANK('Investment Case Asks - Monthly'!D17),"",'Investment Case Asks - Monthly'!D17)</f>
        <v/>
      </c>
      <c r="E17" s="65" t="str">
        <f>IF(ISBLANK('Investment Case Asks - Monthly'!E17),"",'Investment Case Asks - Monthly'!E17)</f>
        <v/>
      </c>
      <c r="F17" s="64" t="str">
        <f>IF(ISBLANK('Investment Case Asks - Monthly'!F17),"",'Investment Case Asks - Monthly'!F17)</f>
        <v/>
      </c>
      <c r="G17" s="65" t="str">
        <f>IF(ISBLANK('Investment Case Asks - Monthly'!G17),"",'Investment Case Asks - Monthly'!G17)</f>
        <v/>
      </c>
      <c r="H17" s="66" t="str">
        <f>IF(ISBLANK('Investment Case Asks - Monthly'!H17),"",'Investment Case Asks - Monthly'!H17)</f>
        <v/>
      </c>
      <c r="I17" s="67" t="str">
        <f>IF(ISBLANK('Investment Case Asks - Monthly'!I17),"",'Investment Case Asks - Monthly'!I17)</f>
        <v/>
      </c>
      <c r="J17" s="67" t="str">
        <f>IF(ISBLANK('Investment Case Asks - Monthly'!J17),"",'Investment Case Asks - Monthly'!J17)</f>
        <v/>
      </c>
      <c r="K17" s="67" t="str">
        <f>IF(ISBLANK('Investment Case Asks - Monthly'!K17),"",'Investment Case Asks - Monthly'!K17)</f>
        <v/>
      </c>
      <c r="L17" s="67" t="str">
        <f>IF(ISBLANK('Investment Case Asks - Monthly'!L17),"",'Investment Case Asks - Monthly'!L17)</f>
        <v/>
      </c>
      <c r="M17" s="67" t="str">
        <f>IF(ISBLANK('Investment Case Asks - Monthly'!M17),"",'Investment Case Asks - Monthly'!M17)</f>
        <v/>
      </c>
      <c r="N17" s="67" t="str">
        <f>IF(ISBLANK('Investment Case Asks - Monthly'!N17),"",'Investment Case Asks - Monthly'!N17)</f>
        <v/>
      </c>
      <c r="O17" s="60" t="str">
        <f>IF(ISBLANK('Investment Case Asks - Monthly'!AA17),"",'Investment Case Asks - Monthly'!AA17)</f>
        <v/>
      </c>
      <c r="P17" s="60" t="str">
        <f>IF(ISBLANK('Investment Case Asks - Monthly'!AN17),"",'Investment Case Asks - Monthly'!AN17)</f>
        <v/>
      </c>
      <c r="Q17" s="60" t="str">
        <f>IF(ISBLANK('Investment Case Asks - Monthly'!BA17),"",'Investment Case Asks - Monthly'!BA17)</f>
        <v/>
      </c>
      <c r="R17" s="65" t="str">
        <f>IF(ISBLANK('Investment Case Asks - Monthly'!BB17),"",'Investment Case Asks - Monthly'!BB17)</f>
        <v/>
      </c>
      <c r="S17" s="38"/>
      <c r="T17" s="37"/>
      <c r="U17" s="38"/>
    </row>
    <row r="18" spans="1:21" x14ac:dyDescent="0.35">
      <c r="A18" s="63" t="str">
        <f>IF(ISBLANK('Investment Case Asks - Monthly'!A18),"",'Investment Case Asks - Monthly'!A18)</f>
        <v/>
      </c>
      <c r="B18" s="63" t="str">
        <f>IF(ISBLANK('Investment Case Asks - Monthly'!B18),"",'Investment Case Asks - Monthly'!B18)</f>
        <v/>
      </c>
      <c r="C18" s="63" t="str">
        <f>IF(ISBLANK('Investment Case Asks - Monthly'!C18),"",'Investment Case Asks - Monthly'!C18)</f>
        <v/>
      </c>
      <c r="D18" s="64" t="str">
        <f>IF(ISBLANK('Investment Case Asks - Monthly'!D18),"",'Investment Case Asks - Monthly'!D18)</f>
        <v/>
      </c>
      <c r="E18" s="65" t="str">
        <f>IF(ISBLANK('Investment Case Asks - Monthly'!E18),"",'Investment Case Asks - Monthly'!E18)</f>
        <v/>
      </c>
      <c r="F18" s="64" t="str">
        <f>IF(ISBLANK('Investment Case Asks - Monthly'!F18),"",'Investment Case Asks - Monthly'!F18)</f>
        <v/>
      </c>
      <c r="G18" s="65" t="str">
        <f>IF(ISBLANK('Investment Case Asks - Monthly'!G18),"",'Investment Case Asks - Monthly'!G18)</f>
        <v/>
      </c>
      <c r="H18" s="66" t="str">
        <f>IF(ISBLANK('Investment Case Asks - Monthly'!H18),"",'Investment Case Asks - Monthly'!H18)</f>
        <v/>
      </c>
      <c r="I18" s="67" t="str">
        <f>IF(ISBLANK('Investment Case Asks - Monthly'!I18),"",'Investment Case Asks - Monthly'!I18)</f>
        <v/>
      </c>
      <c r="J18" s="67" t="str">
        <f>IF(ISBLANK('Investment Case Asks - Monthly'!J18),"",'Investment Case Asks - Monthly'!J18)</f>
        <v/>
      </c>
      <c r="K18" s="67" t="str">
        <f>IF(ISBLANK('Investment Case Asks - Monthly'!K18),"",'Investment Case Asks - Monthly'!K18)</f>
        <v/>
      </c>
      <c r="L18" s="67" t="str">
        <f>IF(ISBLANK('Investment Case Asks - Monthly'!L18),"",'Investment Case Asks - Monthly'!L18)</f>
        <v/>
      </c>
      <c r="M18" s="67" t="str">
        <f>IF(ISBLANK('Investment Case Asks - Monthly'!M18),"",'Investment Case Asks - Monthly'!M18)</f>
        <v/>
      </c>
      <c r="N18" s="67" t="str">
        <f>IF(ISBLANK('Investment Case Asks - Monthly'!N18),"",'Investment Case Asks - Monthly'!N18)</f>
        <v/>
      </c>
      <c r="O18" s="60" t="str">
        <f>IF(ISBLANK('Investment Case Asks - Monthly'!AA18),"",'Investment Case Asks - Monthly'!AA18)</f>
        <v/>
      </c>
      <c r="P18" s="60" t="str">
        <f>IF(ISBLANK('Investment Case Asks - Monthly'!AN18),"",'Investment Case Asks - Monthly'!AN18)</f>
        <v/>
      </c>
      <c r="Q18" s="60" t="str">
        <f>IF(ISBLANK('Investment Case Asks - Monthly'!BA18),"",'Investment Case Asks - Monthly'!BA18)</f>
        <v/>
      </c>
      <c r="R18" s="65" t="str">
        <f>IF(ISBLANK('Investment Case Asks - Monthly'!BB18),"",'Investment Case Asks - Monthly'!BB18)</f>
        <v/>
      </c>
      <c r="S18" s="38"/>
      <c r="T18" s="37"/>
      <c r="U18" s="38"/>
    </row>
    <row r="19" spans="1:21" x14ac:dyDescent="0.35">
      <c r="A19" s="63" t="str">
        <f>IF(ISBLANK('Investment Case Asks - Monthly'!A19),"",'Investment Case Asks - Monthly'!A19)</f>
        <v/>
      </c>
      <c r="B19" s="63" t="str">
        <f>IF(ISBLANK('Investment Case Asks - Monthly'!B19),"",'Investment Case Asks - Monthly'!B19)</f>
        <v/>
      </c>
      <c r="C19" s="63" t="str">
        <f>IF(ISBLANK('Investment Case Asks - Monthly'!C19),"",'Investment Case Asks - Monthly'!C19)</f>
        <v/>
      </c>
      <c r="D19" s="64" t="str">
        <f>IF(ISBLANK('Investment Case Asks - Monthly'!D19),"",'Investment Case Asks - Monthly'!D19)</f>
        <v/>
      </c>
      <c r="E19" s="65" t="str">
        <f>IF(ISBLANK('Investment Case Asks - Monthly'!E19),"",'Investment Case Asks - Monthly'!E19)</f>
        <v/>
      </c>
      <c r="F19" s="64" t="str">
        <f>IF(ISBLANK('Investment Case Asks - Monthly'!F19),"",'Investment Case Asks - Monthly'!F19)</f>
        <v/>
      </c>
      <c r="G19" s="65" t="str">
        <f>IF(ISBLANK('Investment Case Asks - Monthly'!G19),"",'Investment Case Asks - Monthly'!G19)</f>
        <v/>
      </c>
      <c r="H19" s="66" t="str">
        <f>IF(ISBLANK('Investment Case Asks - Monthly'!H19),"",'Investment Case Asks - Monthly'!H19)</f>
        <v/>
      </c>
      <c r="I19" s="67" t="str">
        <f>IF(ISBLANK('Investment Case Asks - Monthly'!I19),"",'Investment Case Asks - Monthly'!I19)</f>
        <v/>
      </c>
      <c r="J19" s="67" t="str">
        <f>IF(ISBLANK('Investment Case Asks - Monthly'!J19),"",'Investment Case Asks - Monthly'!J19)</f>
        <v/>
      </c>
      <c r="K19" s="67" t="str">
        <f>IF(ISBLANK('Investment Case Asks - Monthly'!K19),"",'Investment Case Asks - Monthly'!K19)</f>
        <v/>
      </c>
      <c r="L19" s="67" t="str">
        <f>IF(ISBLANK('Investment Case Asks - Monthly'!L19),"",'Investment Case Asks - Monthly'!L19)</f>
        <v/>
      </c>
      <c r="M19" s="67" t="str">
        <f>IF(ISBLANK('Investment Case Asks - Monthly'!M19),"",'Investment Case Asks - Monthly'!M19)</f>
        <v/>
      </c>
      <c r="N19" s="67" t="str">
        <f>IF(ISBLANK('Investment Case Asks - Monthly'!N19),"",'Investment Case Asks - Monthly'!N19)</f>
        <v/>
      </c>
      <c r="O19" s="60" t="str">
        <f>IF(ISBLANK('Investment Case Asks - Monthly'!AA19),"",'Investment Case Asks - Monthly'!AA19)</f>
        <v/>
      </c>
      <c r="P19" s="60" t="str">
        <f>IF(ISBLANK('Investment Case Asks - Monthly'!AN19),"",'Investment Case Asks - Monthly'!AN19)</f>
        <v/>
      </c>
      <c r="Q19" s="60" t="str">
        <f>IF(ISBLANK('Investment Case Asks - Monthly'!BA19),"",'Investment Case Asks - Monthly'!BA19)</f>
        <v/>
      </c>
      <c r="R19" s="65" t="str">
        <f>IF(ISBLANK('Investment Case Asks - Monthly'!BB19),"",'Investment Case Asks - Monthly'!BB19)</f>
        <v/>
      </c>
      <c r="S19" s="38"/>
      <c r="T19" s="37"/>
      <c r="U19" s="38"/>
    </row>
    <row r="20" spans="1:21" x14ac:dyDescent="0.35">
      <c r="A20" s="63" t="str">
        <f>IF(ISBLANK('Investment Case Asks - Monthly'!A20),"",'Investment Case Asks - Monthly'!A20)</f>
        <v/>
      </c>
      <c r="B20" s="63" t="str">
        <f>IF(ISBLANK('Investment Case Asks - Monthly'!B20),"",'Investment Case Asks - Monthly'!B20)</f>
        <v/>
      </c>
      <c r="C20" s="63" t="str">
        <f>IF(ISBLANK('Investment Case Asks - Monthly'!C20),"",'Investment Case Asks - Monthly'!C20)</f>
        <v/>
      </c>
      <c r="D20" s="64" t="str">
        <f>IF(ISBLANK('Investment Case Asks - Monthly'!D20),"",'Investment Case Asks - Monthly'!D20)</f>
        <v/>
      </c>
      <c r="E20" s="65" t="str">
        <f>IF(ISBLANK('Investment Case Asks - Monthly'!E20),"",'Investment Case Asks - Monthly'!E20)</f>
        <v/>
      </c>
      <c r="F20" s="64" t="str">
        <f>IF(ISBLANK('Investment Case Asks - Monthly'!F20),"",'Investment Case Asks - Monthly'!F20)</f>
        <v/>
      </c>
      <c r="G20" s="65" t="str">
        <f>IF(ISBLANK('Investment Case Asks - Monthly'!G20),"",'Investment Case Asks - Monthly'!G20)</f>
        <v/>
      </c>
      <c r="H20" s="66" t="str">
        <f>IF(ISBLANK('Investment Case Asks - Monthly'!H20),"",'Investment Case Asks - Monthly'!H20)</f>
        <v/>
      </c>
      <c r="I20" s="67" t="str">
        <f>IF(ISBLANK('Investment Case Asks - Monthly'!I20),"",'Investment Case Asks - Monthly'!I20)</f>
        <v/>
      </c>
      <c r="J20" s="67" t="str">
        <f>IF(ISBLANK('Investment Case Asks - Monthly'!J20),"",'Investment Case Asks - Monthly'!J20)</f>
        <v/>
      </c>
      <c r="K20" s="67" t="str">
        <f>IF(ISBLANK('Investment Case Asks - Monthly'!K20),"",'Investment Case Asks - Monthly'!K20)</f>
        <v/>
      </c>
      <c r="L20" s="67" t="str">
        <f>IF(ISBLANK('Investment Case Asks - Monthly'!L20),"",'Investment Case Asks - Monthly'!L20)</f>
        <v/>
      </c>
      <c r="M20" s="67" t="str">
        <f>IF(ISBLANK('Investment Case Asks - Monthly'!M20),"",'Investment Case Asks - Monthly'!M20)</f>
        <v/>
      </c>
      <c r="N20" s="67" t="str">
        <f>IF(ISBLANK('Investment Case Asks - Monthly'!N20),"",'Investment Case Asks - Monthly'!N20)</f>
        <v/>
      </c>
      <c r="O20" s="60" t="str">
        <f>IF(ISBLANK('Investment Case Asks - Monthly'!AA20),"",'Investment Case Asks - Monthly'!AA20)</f>
        <v/>
      </c>
      <c r="P20" s="60" t="str">
        <f>IF(ISBLANK('Investment Case Asks - Monthly'!AN20),"",'Investment Case Asks - Monthly'!AN20)</f>
        <v/>
      </c>
      <c r="Q20" s="60" t="str">
        <f>IF(ISBLANK('Investment Case Asks - Monthly'!BA20),"",'Investment Case Asks - Monthly'!BA20)</f>
        <v/>
      </c>
      <c r="R20" s="65" t="str">
        <f>IF(ISBLANK('Investment Case Asks - Monthly'!BB20),"",'Investment Case Asks - Monthly'!BB20)</f>
        <v/>
      </c>
      <c r="S20" s="38"/>
      <c r="T20" s="37"/>
      <c r="U20" s="38"/>
    </row>
    <row r="21" spans="1:21" x14ac:dyDescent="0.35">
      <c r="A21" s="37"/>
      <c r="B21" s="37"/>
      <c r="C21" s="37"/>
      <c r="D21" s="37"/>
      <c r="E21" s="38"/>
      <c r="F21" s="38"/>
      <c r="G21" s="38"/>
      <c r="H21" s="38"/>
      <c r="I21" s="38"/>
      <c r="J21" s="38"/>
      <c r="K21" s="38"/>
      <c r="L21" s="38"/>
      <c r="M21" s="37"/>
      <c r="N21" s="37"/>
      <c r="O21" s="37"/>
      <c r="P21" s="37"/>
      <c r="Q21" s="37"/>
      <c r="R21" s="38"/>
      <c r="S21" s="38"/>
      <c r="T21" s="37"/>
      <c r="U21" s="38"/>
    </row>
    <row r="22" spans="1:21" ht="15" thickBot="1" x14ac:dyDescent="0.4">
      <c r="A22" s="45" t="s">
        <v>46</v>
      </c>
      <c r="B22" s="45"/>
      <c r="C22" s="45"/>
      <c r="D22" s="45"/>
      <c r="E22" s="46"/>
      <c r="F22" s="47"/>
      <c r="G22" s="46">
        <f>IF(ISBLANK('Investment Case Asks - Monthly'!G22),"",'Investment Case Asks - Monthly'!G22)</f>
        <v>0</v>
      </c>
      <c r="H22" s="46"/>
      <c r="I22" s="46">
        <f>IF(ISBLANK('Investment Case Asks - Monthly'!I22),"",'Investment Case Asks - Monthly'!I22)</f>
        <v>0</v>
      </c>
      <c r="J22" s="46">
        <f>IF(ISBLANK('Investment Case Asks - Monthly'!J22),"",'Investment Case Asks - Monthly'!J22)</f>
        <v>0</v>
      </c>
      <c r="K22" s="46">
        <f>IF(ISBLANK('Investment Case Asks - Monthly'!K22),"",'Investment Case Asks - Monthly'!K22)</f>
        <v>0</v>
      </c>
      <c r="L22" s="46">
        <f>IF(ISBLANK('Investment Case Asks - Monthly'!L22),"",'Investment Case Asks - Monthly'!L22)</f>
        <v>0</v>
      </c>
      <c r="M22" s="46">
        <f>IF(ISBLANK('Investment Case Asks - Monthly'!M22),"",'Investment Case Asks - Monthly'!M22)</f>
        <v>0</v>
      </c>
      <c r="N22" s="46">
        <f>IF(ISBLANK('Investment Case Asks - Monthly'!N22),"",'Investment Case Asks - Monthly'!N22)</f>
        <v>0</v>
      </c>
      <c r="O22" s="46">
        <f>IF(ISBLANK('Investment Case Asks - Monthly'!AA22),"",'Investment Case Asks - Monthly'!AA22)</f>
        <v>0</v>
      </c>
      <c r="P22" s="46">
        <f>IF(ISBLANK('Investment Case Asks - Monthly'!AN22),"",'Investment Case Asks - Monthly'!AN22)</f>
        <v>0</v>
      </c>
      <c r="Q22" s="46">
        <f>IF(ISBLANK('Investment Case Asks - Monthly'!BA22),"",'Investment Case Asks - Monthly'!BA22)</f>
        <v>0</v>
      </c>
      <c r="R22" s="46"/>
      <c r="S22" s="38"/>
      <c r="T22" s="37"/>
      <c r="U22" s="37"/>
    </row>
    <row r="23" spans="1:21" ht="15" thickTop="1" x14ac:dyDescent="0.35">
      <c r="A23" s="37"/>
      <c r="B23" s="37"/>
      <c r="C23" s="37"/>
      <c r="D23" s="37"/>
      <c r="E23" s="38"/>
      <c r="F23" s="38"/>
      <c r="G23" s="38"/>
      <c r="H23" s="38"/>
      <c r="I23" s="38"/>
      <c r="J23" s="38"/>
      <c r="K23" s="38"/>
      <c r="L23" s="38"/>
      <c r="M23" s="37"/>
      <c r="N23" s="37"/>
      <c r="O23" s="37"/>
      <c r="P23" s="37"/>
      <c r="Q23" s="37"/>
      <c r="R23" s="37"/>
      <c r="S23" s="38"/>
      <c r="T23" s="37"/>
      <c r="U23" s="37"/>
    </row>
    <row r="24" spans="1:21" x14ac:dyDescent="0.35">
      <c r="A24" s="37"/>
      <c r="B24" s="37"/>
      <c r="C24" s="37"/>
      <c r="D24" s="37"/>
      <c r="E24" s="38"/>
      <c r="F24" s="38"/>
      <c r="G24" s="38"/>
      <c r="H24" s="38"/>
      <c r="I24" s="38"/>
      <c r="J24" s="38"/>
      <c r="K24" s="38"/>
      <c r="L24" s="38"/>
      <c r="M24" s="37"/>
      <c r="N24" s="37"/>
      <c r="O24" s="37"/>
      <c r="P24" s="37"/>
      <c r="Q24" s="37"/>
      <c r="R24" s="37"/>
      <c r="S24" s="38"/>
      <c r="T24" s="37"/>
      <c r="U24" s="37"/>
    </row>
    <row r="25" spans="1:21" x14ac:dyDescent="0.35">
      <c r="A25" s="37"/>
      <c r="B25" s="37"/>
      <c r="C25" s="37"/>
      <c r="D25" s="37"/>
      <c r="E25" s="38"/>
      <c r="F25" s="38"/>
      <c r="G25" s="37"/>
      <c r="H25" s="38"/>
      <c r="I25" s="38"/>
      <c r="J25" s="38"/>
      <c r="K25" s="38"/>
      <c r="L25" s="38"/>
      <c r="M25" s="37"/>
      <c r="N25" s="37"/>
      <c r="O25" s="37"/>
      <c r="P25" s="37"/>
      <c r="Q25" s="37"/>
      <c r="R25" s="37"/>
      <c r="S25" s="37"/>
      <c r="T25" s="37"/>
      <c r="U25" s="37"/>
    </row>
    <row r="26" spans="1:21" s="5" customFormat="1" x14ac:dyDescent="0.35">
      <c r="A26" s="72" t="s">
        <v>77</v>
      </c>
      <c r="B26" s="72"/>
      <c r="C26" s="72"/>
      <c r="D26" s="72"/>
      <c r="E26" s="72"/>
      <c r="F26" s="72"/>
      <c r="G26" s="72"/>
      <c r="H26" s="37"/>
      <c r="I26" s="38"/>
      <c r="J26" s="38"/>
      <c r="K26" s="38"/>
      <c r="L26" s="37"/>
      <c r="M26" s="37"/>
      <c r="N26" s="37"/>
      <c r="O26" s="37"/>
      <c r="P26" s="37"/>
      <c r="Q26" s="37"/>
      <c r="R26" s="38"/>
      <c r="S26" s="40"/>
      <c r="T26" s="40"/>
      <c r="U26" s="40"/>
    </row>
    <row r="27" spans="1:21" x14ac:dyDescent="0.35">
      <c r="A27" s="39" t="s">
        <v>55</v>
      </c>
      <c r="B27" s="39" t="s">
        <v>54</v>
      </c>
      <c r="C27" s="39" t="s">
        <v>56</v>
      </c>
      <c r="D27" s="39" t="s">
        <v>37</v>
      </c>
      <c r="E27" s="39" t="s">
        <v>119</v>
      </c>
      <c r="F27" s="39" t="s">
        <v>120</v>
      </c>
      <c r="G27" s="39" t="s">
        <v>38</v>
      </c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37"/>
      <c r="T27" s="37"/>
      <c r="U27" s="37"/>
    </row>
    <row r="28" spans="1:21" x14ac:dyDescent="0.35">
      <c r="A28" s="63" t="str">
        <f>IF(ISBLANK('Investment Case Asks - Monthly'!A28),"",'Investment Case Asks - Monthly'!A28)</f>
        <v/>
      </c>
      <c r="B28" s="63" t="str">
        <f>IF(ISBLANK('Investment Case Asks - Monthly'!B28),"",'Investment Case Asks - Monthly'!B28)</f>
        <v/>
      </c>
      <c r="C28" s="63" t="str">
        <f>IF(ISBLANK('Investment Case Asks - Monthly'!C28),"",'Investment Case Asks - Monthly'!C28)</f>
        <v/>
      </c>
      <c r="D28" s="41" t="str">
        <f>IF(ISBLANK('Investment Case Asks - Monthly'!Q28),"",'Investment Case Asks - Monthly'!Q28)</f>
        <v/>
      </c>
      <c r="E28" s="65" t="str">
        <f>IF(ISBLANK('Investment Case Asks - Monthly'!AD28),"",'Investment Case Asks - Monthly'!AD28)</f>
        <v/>
      </c>
      <c r="F28" s="65" t="str">
        <f>IF(ISBLANK('Investment Case Asks - Monthly'!AQ28),"",'Investment Case Asks - Monthly'!AQ28)</f>
        <v/>
      </c>
      <c r="G28" s="65" t="str">
        <f>IF(ISBLANK('Investment Case Asks - Monthly'!AR28),"",'Investment Case Asks - Monthly'!AR28)</f>
        <v/>
      </c>
      <c r="H28" s="37"/>
      <c r="I28" s="38"/>
      <c r="J28" s="38"/>
      <c r="K28" s="38"/>
      <c r="L28" s="37"/>
      <c r="M28" s="37"/>
      <c r="N28" s="37"/>
      <c r="O28" s="37"/>
      <c r="P28" s="37"/>
      <c r="Q28" s="37"/>
      <c r="R28" s="38"/>
      <c r="S28" s="37"/>
      <c r="T28" s="37"/>
      <c r="U28" s="37"/>
    </row>
    <row r="29" spans="1:21" x14ac:dyDescent="0.35">
      <c r="A29" s="63" t="str">
        <f>IF(ISBLANK('Investment Case Asks - Monthly'!A29),"",'Investment Case Asks - Monthly'!A29)</f>
        <v/>
      </c>
      <c r="B29" s="63" t="str">
        <f>IF(ISBLANK('Investment Case Asks - Monthly'!B29),"",'Investment Case Asks - Monthly'!B29)</f>
        <v/>
      </c>
      <c r="C29" s="63" t="str">
        <f>IF(ISBLANK('Investment Case Asks - Monthly'!C29),"",'Investment Case Asks - Monthly'!C29)</f>
        <v/>
      </c>
      <c r="D29" s="41" t="str">
        <f>IF(ISBLANK('Investment Case Asks - Monthly'!Q29),"",'Investment Case Asks - Monthly'!Q29)</f>
        <v/>
      </c>
      <c r="E29" s="65" t="str">
        <f>IF(ISBLANK('Investment Case Asks - Monthly'!AD29),"",'Investment Case Asks - Monthly'!AD29)</f>
        <v/>
      </c>
      <c r="F29" s="69" t="str">
        <f>IF(ISBLANK('Investment Case Asks - Monthly'!AQ29),"",'Investment Case Asks - Monthly'!AQ29)</f>
        <v/>
      </c>
      <c r="G29" s="69" t="str">
        <f>IF(ISBLANK('Investment Case Asks - Monthly'!AR29),"",'Investment Case Asks - Monthly'!AR29)</f>
        <v/>
      </c>
      <c r="H29" s="37"/>
      <c r="I29" s="38"/>
      <c r="J29" s="38"/>
      <c r="K29" s="38"/>
      <c r="L29" s="37"/>
      <c r="M29" s="37"/>
      <c r="N29" s="37"/>
      <c r="O29" s="37"/>
      <c r="P29" s="37"/>
      <c r="Q29" s="37"/>
      <c r="R29" s="38"/>
      <c r="S29" s="37"/>
      <c r="T29" s="37"/>
      <c r="U29" s="37"/>
    </row>
    <row r="30" spans="1:21" x14ac:dyDescent="0.35">
      <c r="A30" s="63" t="str">
        <f>IF(ISBLANK('Investment Case Asks - Monthly'!A30),"",'Investment Case Asks - Monthly'!A30)</f>
        <v/>
      </c>
      <c r="B30" s="63" t="str">
        <f>IF(ISBLANK('Investment Case Asks - Monthly'!B30),"",'Investment Case Asks - Monthly'!B30)</f>
        <v/>
      </c>
      <c r="C30" s="63" t="str">
        <f>IF(ISBLANK('Investment Case Asks - Monthly'!C30),"",'Investment Case Asks - Monthly'!C30)</f>
        <v/>
      </c>
      <c r="D30" s="41" t="str">
        <f>IF(ISBLANK('Investment Case Asks - Monthly'!Q30),"",'Investment Case Asks - Monthly'!Q30)</f>
        <v/>
      </c>
      <c r="E30" s="65" t="str">
        <f>IF(ISBLANK('Investment Case Asks - Monthly'!AD30),"",'Investment Case Asks - Monthly'!AD30)</f>
        <v/>
      </c>
      <c r="F30" s="69" t="str">
        <f>IF(ISBLANK('Investment Case Asks - Monthly'!AQ30),"",'Investment Case Asks - Monthly'!AQ30)</f>
        <v/>
      </c>
      <c r="G30" s="69" t="str">
        <f>IF(ISBLANK('Investment Case Asks - Monthly'!AR30),"",'Investment Case Asks - Monthly'!AR30)</f>
        <v/>
      </c>
      <c r="H30" s="37"/>
      <c r="I30" s="38"/>
      <c r="J30" s="38"/>
      <c r="K30" s="38"/>
      <c r="L30" s="37"/>
      <c r="M30" s="37"/>
      <c r="N30" s="37"/>
      <c r="O30" s="37"/>
      <c r="P30" s="37"/>
      <c r="Q30" s="37"/>
      <c r="R30" s="38"/>
      <c r="S30" s="37"/>
      <c r="T30" s="37"/>
      <c r="U30" s="37"/>
    </row>
    <row r="31" spans="1:21" x14ac:dyDescent="0.35">
      <c r="A31" s="63" t="str">
        <f>IF(ISBLANK('Investment Case Asks - Monthly'!A31),"",'Investment Case Asks - Monthly'!A31)</f>
        <v/>
      </c>
      <c r="B31" s="63" t="str">
        <f>IF(ISBLANK('Investment Case Asks - Monthly'!B31),"",'Investment Case Asks - Monthly'!B31)</f>
        <v/>
      </c>
      <c r="C31" s="63" t="str">
        <f>IF(ISBLANK('Investment Case Asks - Monthly'!C31),"",'Investment Case Asks - Monthly'!C31)</f>
        <v/>
      </c>
      <c r="D31" s="41" t="str">
        <f>IF(ISBLANK('Investment Case Asks - Monthly'!Q31),"",'Investment Case Asks - Monthly'!Q31)</f>
        <v/>
      </c>
      <c r="E31" s="65" t="str">
        <f>IF(ISBLANK('Investment Case Asks - Monthly'!AD31),"",'Investment Case Asks - Monthly'!AD31)</f>
        <v/>
      </c>
      <c r="F31" s="69" t="str">
        <f>IF(ISBLANK('Investment Case Asks - Monthly'!AQ31),"",'Investment Case Asks - Monthly'!AQ31)</f>
        <v/>
      </c>
      <c r="G31" s="69" t="str">
        <f>IF(ISBLANK('Investment Case Asks - Monthly'!AR31),"",'Investment Case Asks - Monthly'!AR31)</f>
        <v/>
      </c>
      <c r="H31" s="37"/>
      <c r="I31" s="38"/>
      <c r="J31" s="38"/>
      <c r="K31" s="38"/>
      <c r="L31" s="37"/>
      <c r="M31" s="37"/>
      <c r="N31" s="37"/>
      <c r="O31" s="37"/>
      <c r="P31" s="37"/>
      <c r="Q31" s="37"/>
      <c r="R31" s="38"/>
      <c r="S31" s="37"/>
      <c r="T31" s="37"/>
      <c r="U31" s="37"/>
    </row>
    <row r="32" spans="1:21" x14ac:dyDescent="0.35">
      <c r="A32" s="63" t="str">
        <f>IF(ISBLANK('Investment Case Asks - Monthly'!A32),"",'Investment Case Asks - Monthly'!A32)</f>
        <v/>
      </c>
      <c r="B32" s="63" t="str">
        <f>IF(ISBLANK('Investment Case Asks - Monthly'!B32),"",'Investment Case Asks - Monthly'!B32)</f>
        <v/>
      </c>
      <c r="C32" s="63" t="str">
        <f>IF(ISBLANK('Investment Case Asks - Monthly'!C32),"",'Investment Case Asks - Monthly'!C32)</f>
        <v/>
      </c>
      <c r="D32" s="41" t="str">
        <f>IF(ISBLANK('Investment Case Asks - Monthly'!Q32),"",'Investment Case Asks - Monthly'!Q32)</f>
        <v/>
      </c>
      <c r="E32" s="65" t="str">
        <f>IF(ISBLANK('Investment Case Asks - Monthly'!AD32),"",'Investment Case Asks - Monthly'!AD32)</f>
        <v/>
      </c>
      <c r="F32" s="69" t="str">
        <f>IF(ISBLANK('Investment Case Asks - Monthly'!AQ32),"",'Investment Case Asks - Monthly'!AQ32)</f>
        <v/>
      </c>
      <c r="G32" s="69" t="str">
        <f>IF(ISBLANK('Investment Case Asks - Monthly'!AR32),"",'Investment Case Asks - Monthly'!AR32)</f>
        <v/>
      </c>
      <c r="H32" s="37"/>
      <c r="I32" s="38"/>
      <c r="J32" s="38"/>
      <c r="K32" s="38"/>
      <c r="L32" s="37"/>
      <c r="M32" s="37"/>
      <c r="N32" s="37"/>
      <c r="O32" s="37"/>
      <c r="P32" s="37"/>
      <c r="Q32" s="37"/>
      <c r="R32" s="38"/>
      <c r="S32" s="37"/>
      <c r="T32" s="37"/>
      <c r="U32" s="37"/>
    </row>
    <row r="33" spans="1:21" x14ac:dyDescent="0.35">
      <c r="A33" s="63" t="str">
        <f>IF(ISBLANK('Investment Case Asks - Monthly'!A33),"",'Investment Case Asks - Monthly'!A33)</f>
        <v/>
      </c>
      <c r="B33" s="63" t="str">
        <f>IF(ISBLANK('Investment Case Asks - Monthly'!B33),"",'Investment Case Asks - Monthly'!B33)</f>
        <v/>
      </c>
      <c r="C33" s="63" t="str">
        <f>IF(ISBLANK('Investment Case Asks - Monthly'!C33),"",'Investment Case Asks - Monthly'!C33)</f>
        <v/>
      </c>
      <c r="D33" s="41" t="str">
        <f>IF(ISBLANK('Investment Case Asks - Monthly'!Q33),"",'Investment Case Asks - Monthly'!Q33)</f>
        <v/>
      </c>
      <c r="E33" s="65" t="str">
        <f>IF(ISBLANK('Investment Case Asks - Monthly'!AD33),"",'Investment Case Asks - Monthly'!AD33)</f>
        <v/>
      </c>
      <c r="F33" s="69" t="str">
        <f>IF(ISBLANK('Investment Case Asks - Monthly'!AQ33),"",'Investment Case Asks - Monthly'!AQ33)</f>
        <v/>
      </c>
      <c r="G33" s="69" t="str">
        <f>IF(ISBLANK('Investment Case Asks - Monthly'!AR33),"",'Investment Case Asks - Monthly'!AR33)</f>
        <v/>
      </c>
      <c r="H33" s="37"/>
      <c r="I33" s="38"/>
      <c r="J33" s="38"/>
      <c r="K33" s="38"/>
      <c r="L33" s="37"/>
      <c r="M33" s="37"/>
      <c r="N33" s="37"/>
      <c r="O33" s="37"/>
      <c r="P33" s="37"/>
      <c r="Q33" s="37"/>
      <c r="R33" s="38"/>
      <c r="S33" s="37"/>
      <c r="T33" s="37"/>
      <c r="U33" s="37"/>
    </row>
    <row r="34" spans="1:21" x14ac:dyDescent="0.35">
      <c r="A34" s="63" t="str">
        <f>IF(ISBLANK('Investment Case Asks - Monthly'!A34),"",'Investment Case Asks - Monthly'!A34)</f>
        <v/>
      </c>
      <c r="B34" s="63" t="str">
        <f>IF(ISBLANK('Investment Case Asks - Monthly'!B34),"",'Investment Case Asks - Monthly'!B34)</f>
        <v/>
      </c>
      <c r="C34" s="63" t="str">
        <f>IF(ISBLANK('Investment Case Asks - Monthly'!C34),"",'Investment Case Asks - Monthly'!C34)</f>
        <v/>
      </c>
      <c r="D34" s="41" t="str">
        <f>IF(ISBLANK('Investment Case Asks - Monthly'!Q34),"",'Investment Case Asks - Monthly'!Q34)</f>
        <v/>
      </c>
      <c r="E34" s="65" t="str">
        <f>IF(ISBLANK('Investment Case Asks - Monthly'!AD34),"",'Investment Case Asks - Monthly'!AD34)</f>
        <v/>
      </c>
      <c r="F34" s="69" t="str">
        <f>IF(ISBLANK('Investment Case Asks - Monthly'!AQ34),"",'Investment Case Asks - Monthly'!AQ34)</f>
        <v/>
      </c>
      <c r="G34" s="69" t="str">
        <f>IF(ISBLANK('Investment Case Asks - Monthly'!AR34),"",'Investment Case Asks - Monthly'!AR34)</f>
        <v/>
      </c>
      <c r="H34" s="37"/>
      <c r="I34" s="38"/>
      <c r="J34" s="38"/>
      <c r="K34" s="38"/>
      <c r="L34" s="37"/>
      <c r="M34" s="37"/>
      <c r="N34" s="37"/>
      <c r="O34" s="37"/>
      <c r="P34" s="37"/>
      <c r="Q34" s="37"/>
      <c r="R34" s="38"/>
      <c r="S34" s="37"/>
      <c r="T34" s="37"/>
      <c r="U34" s="37"/>
    </row>
    <row r="35" spans="1:21" x14ac:dyDescent="0.35">
      <c r="A35" s="63" t="str">
        <f>IF(ISBLANK('Investment Case Asks - Monthly'!A35),"",'Investment Case Asks - Monthly'!A35)</f>
        <v/>
      </c>
      <c r="B35" s="63" t="str">
        <f>IF(ISBLANK('Investment Case Asks - Monthly'!B35),"",'Investment Case Asks - Monthly'!B35)</f>
        <v/>
      </c>
      <c r="C35" s="63" t="str">
        <f>IF(ISBLANK('Investment Case Asks - Monthly'!C35),"",'Investment Case Asks - Monthly'!C35)</f>
        <v/>
      </c>
      <c r="D35" s="41" t="str">
        <f>IF(ISBLANK('Investment Case Asks - Monthly'!Q35),"",'Investment Case Asks - Monthly'!Q35)</f>
        <v/>
      </c>
      <c r="E35" s="65" t="str">
        <f>IF(ISBLANK('Investment Case Asks - Monthly'!AD35),"",'Investment Case Asks - Monthly'!AD35)</f>
        <v/>
      </c>
      <c r="F35" s="69" t="str">
        <f>IF(ISBLANK('Investment Case Asks - Monthly'!AQ35),"",'Investment Case Asks - Monthly'!AQ35)</f>
        <v/>
      </c>
      <c r="G35" s="69" t="str">
        <f>IF(ISBLANK('Investment Case Asks - Monthly'!AR35),"",'Investment Case Asks - Monthly'!AR35)</f>
        <v/>
      </c>
      <c r="H35" s="37"/>
      <c r="I35" s="38"/>
      <c r="J35" s="38"/>
      <c r="K35" s="38"/>
      <c r="L35" s="37"/>
      <c r="M35" s="37"/>
      <c r="N35" s="37"/>
      <c r="O35" s="37"/>
      <c r="P35" s="37"/>
      <c r="Q35" s="37"/>
      <c r="R35" s="38"/>
      <c r="S35" s="37"/>
      <c r="T35" s="37"/>
      <c r="U35" s="37"/>
    </row>
    <row r="36" spans="1:21" x14ac:dyDescent="0.35">
      <c r="A36" s="63" t="str">
        <f>IF(ISBLANK('Investment Case Asks - Monthly'!A36),"",'Investment Case Asks - Monthly'!A36)</f>
        <v/>
      </c>
      <c r="B36" s="63" t="str">
        <f>IF(ISBLANK('Investment Case Asks - Monthly'!B36),"",'Investment Case Asks - Monthly'!B36)</f>
        <v/>
      </c>
      <c r="C36" s="63" t="str">
        <f>IF(ISBLANK('Investment Case Asks - Monthly'!C36),"",'Investment Case Asks - Monthly'!C36)</f>
        <v/>
      </c>
      <c r="D36" s="41" t="str">
        <f>IF(ISBLANK('Investment Case Asks - Monthly'!Q36),"",'Investment Case Asks - Monthly'!Q36)</f>
        <v/>
      </c>
      <c r="E36" s="65" t="str">
        <f>IF(ISBLANK('Investment Case Asks - Monthly'!AD36),"",'Investment Case Asks - Monthly'!AD36)</f>
        <v/>
      </c>
      <c r="F36" s="69" t="str">
        <f>IF(ISBLANK('Investment Case Asks - Monthly'!AQ36),"",'Investment Case Asks - Monthly'!AQ36)</f>
        <v/>
      </c>
      <c r="G36" s="69" t="str">
        <f>IF(ISBLANK('Investment Case Asks - Monthly'!AR36),"",'Investment Case Asks - Monthly'!AR36)</f>
        <v/>
      </c>
      <c r="H36" s="37"/>
      <c r="I36" s="38"/>
      <c r="J36" s="38"/>
      <c r="K36" s="38"/>
      <c r="L36" s="37"/>
      <c r="M36" s="37"/>
      <c r="N36" s="37"/>
      <c r="O36" s="37"/>
      <c r="P36" s="37"/>
      <c r="Q36" s="37"/>
      <c r="R36" s="38"/>
      <c r="S36" s="37"/>
      <c r="T36" s="37"/>
      <c r="U36" s="37"/>
    </row>
    <row r="37" spans="1:21" x14ac:dyDescent="0.35">
      <c r="A37" s="63" t="str">
        <f>IF(ISBLANK('Investment Case Asks - Monthly'!A37),"",'Investment Case Asks - Monthly'!A37)</f>
        <v/>
      </c>
      <c r="B37" s="63" t="str">
        <f>IF(ISBLANK('Investment Case Asks - Monthly'!B37),"",'Investment Case Asks - Monthly'!B37)</f>
        <v/>
      </c>
      <c r="C37" s="63" t="str">
        <f>IF(ISBLANK('Investment Case Asks - Monthly'!C37),"",'Investment Case Asks - Monthly'!C37)</f>
        <v/>
      </c>
      <c r="D37" s="41" t="str">
        <f>IF(ISBLANK('Investment Case Asks - Monthly'!Q37),"",'Investment Case Asks - Monthly'!Q37)</f>
        <v/>
      </c>
      <c r="E37" s="65" t="str">
        <f>IF(ISBLANK('Investment Case Asks - Monthly'!AD37),"",'Investment Case Asks - Monthly'!AD37)</f>
        <v/>
      </c>
      <c r="F37" s="69" t="str">
        <f>IF(ISBLANK('Investment Case Asks - Monthly'!AQ37),"",'Investment Case Asks - Monthly'!AQ37)</f>
        <v/>
      </c>
      <c r="G37" s="69" t="str">
        <f>IF(ISBLANK('Investment Case Asks - Monthly'!AR37),"",'Investment Case Asks - Monthly'!AR37)</f>
        <v/>
      </c>
      <c r="H37" s="37"/>
      <c r="I37" s="38"/>
      <c r="J37" s="38"/>
      <c r="K37" s="38"/>
      <c r="L37" s="37"/>
      <c r="M37" s="37"/>
      <c r="N37" s="37"/>
      <c r="O37" s="37"/>
      <c r="P37" s="37"/>
      <c r="Q37" s="37"/>
      <c r="R37" s="38"/>
      <c r="S37" s="37"/>
      <c r="T37" s="37"/>
      <c r="U37" s="37"/>
    </row>
    <row r="38" spans="1:21" x14ac:dyDescent="0.35">
      <c r="A38" s="63" t="str">
        <f>IF(ISBLANK('Investment Case Asks - Monthly'!A38),"",'Investment Case Asks - Monthly'!A38)</f>
        <v/>
      </c>
      <c r="B38" s="63" t="str">
        <f>IF(ISBLANK('Investment Case Asks - Monthly'!B38),"",'Investment Case Asks - Monthly'!B38)</f>
        <v/>
      </c>
      <c r="C38" s="63" t="str">
        <f>IF(ISBLANK('Investment Case Asks - Monthly'!C38),"",'Investment Case Asks - Monthly'!C38)</f>
        <v/>
      </c>
      <c r="D38" s="41" t="str">
        <f>IF(ISBLANK('Investment Case Asks - Monthly'!Q38),"",'Investment Case Asks - Monthly'!Q38)</f>
        <v/>
      </c>
      <c r="E38" s="65" t="str">
        <f>IF(ISBLANK('Investment Case Asks - Monthly'!AD38),"",'Investment Case Asks - Monthly'!AD38)</f>
        <v/>
      </c>
      <c r="F38" s="69" t="str">
        <f>IF(ISBLANK('Investment Case Asks - Monthly'!AQ38),"",'Investment Case Asks - Monthly'!AQ38)</f>
        <v/>
      </c>
      <c r="G38" s="69" t="str">
        <f>IF(ISBLANK('Investment Case Asks - Monthly'!AR38),"",'Investment Case Asks - Monthly'!AR38)</f>
        <v/>
      </c>
      <c r="H38" s="37"/>
      <c r="I38" s="38"/>
      <c r="J38" s="38"/>
      <c r="K38" s="38"/>
      <c r="L38" s="37"/>
      <c r="M38" s="37"/>
      <c r="N38" s="37"/>
      <c r="O38" s="37"/>
      <c r="P38" s="37"/>
      <c r="Q38" s="37"/>
      <c r="R38" s="38"/>
      <c r="S38" s="37"/>
      <c r="T38" s="37"/>
      <c r="U38" s="37"/>
    </row>
    <row r="39" spans="1:21" x14ac:dyDescent="0.35">
      <c r="A39" s="63" t="str">
        <f>IF(ISBLANK('Investment Case Asks - Monthly'!A39),"",'Investment Case Asks - Monthly'!A39)</f>
        <v/>
      </c>
      <c r="B39" s="63" t="str">
        <f>IF(ISBLANK('Investment Case Asks - Monthly'!B39),"",'Investment Case Asks - Monthly'!B39)</f>
        <v/>
      </c>
      <c r="C39" s="63" t="str">
        <f>IF(ISBLANK('Investment Case Asks - Monthly'!C39),"",'Investment Case Asks - Monthly'!C39)</f>
        <v/>
      </c>
      <c r="D39" s="41" t="str">
        <f>IF(ISBLANK('Investment Case Asks - Monthly'!Q39),"",'Investment Case Asks - Monthly'!Q39)</f>
        <v/>
      </c>
      <c r="E39" s="65" t="str">
        <f>IF(ISBLANK('Investment Case Asks - Monthly'!AD39),"",'Investment Case Asks - Monthly'!AD39)</f>
        <v/>
      </c>
      <c r="F39" s="69" t="str">
        <f>IF(ISBLANK('Investment Case Asks - Monthly'!AQ39),"",'Investment Case Asks - Monthly'!AQ39)</f>
        <v/>
      </c>
      <c r="G39" s="69" t="str">
        <f>IF(ISBLANK('Investment Case Asks - Monthly'!AR39),"",'Investment Case Asks - Monthly'!AR39)</f>
        <v/>
      </c>
      <c r="H39" s="37"/>
      <c r="I39" s="38"/>
      <c r="J39" s="38"/>
      <c r="K39" s="38"/>
      <c r="L39" s="37"/>
      <c r="M39" s="37"/>
      <c r="N39" s="37"/>
      <c r="O39" s="37"/>
      <c r="P39" s="37"/>
      <c r="Q39" s="37"/>
      <c r="R39" s="38"/>
      <c r="S39" s="37"/>
      <c r="T39" s="37"/>
      <c r="U39" s="37"/>
    </row>
    <row r="40" spans="1:21" x14ac:dyDescent="0.35">
      <c r="A40" s="63" t="str">
        <f>IF(ISBLANK('Investment Case Asks - Monthly'!A40),"",'Investment Case Asks - Monthly'!A40)</f>
        <v/>
      </c>
      <c r="B40" s="63" t="str">
        <f>IF(ISBLANK('Investment Case Asks - Monthly'!B40),"",'Investment Case Asks - Monthly'!B40)</f>
        <v/>
      </c>
      <c r="C40" s="63" t="str">
        <f>IF(ISBLANK('Investment Case Asks - Monthly'!C40),"",'Investment Case Asks - Monthly'!C40)</f>
        <v/>
      </c>
      <c r="D40" s="41" t="str">
        <f>IF(ISBLANK('Investment Case Asks - Monthly'!Q40),"",'Investment Case Asks - Monthly'!Q40)</f>
        <v/>
      </c>
      <c r="E40" s="65" t="str">
        <f>IF(ISBLANK('Investment Case Asks - Monthly'!AD40),"",'Investment Case Asks - Monthly'!AD40)</f>
        <v/>
      </c>
      <c r="F40" s="69" t="str">
        <f>IF(ISBLANK('Investment Case Asks - Monthly'!AQ40),"",'Investment Case Asks - Monthly'!AQ40)</f>
        <v/>
      </c>
      <c r="G40" s="69" t="str">
        <f>IF(ISBLANK('Investment Case Asks - Monthly'!AR40),"",'Investment Case Asks - Monthly'!AR40)</f>
        <v/>
      </c>
      <c r="H40" s="37"/>
      <c r="I40" s="38"/>
      <c r="J40" s="38"/>
      <c r="K40" s="38"/>
      <c r="L40" s="37"/>
      <c r="M40" s="37"/>
      <c r="N40" s="37"/>
      <c r="O40" s="37"/>
      <c r="P40" s="37"/>
      <c r="Q40" s="37"/>
      <c r="R40" s="38"/>
      <c r="S40" s="37"/>
      <c r="T40" s="37"/>
      <c r="U40" s="37"/>
    </row>
    <row r="41" spans="1:21" x14ac:dyDescent="0.35">
      <c r="A41" s="63" t="str">
        <f>IF(ISBLANK('Investment Case Asks - Monthly'!A41),"",'Investment Case Asks - Monthly'!A41)</f>
        <v/>
      </c>
      <c r="B41" s="63" t="str">
        <f>IF(ISBLANK('Investment Case Asks - Monthly'!B41),"",'Investment Case Asks - Monthly'!B41)</f>
        <v/>
      </c>
      <c r="C41" s="63" t="str">
        <f>IF(ISBLANK('Investment Case Asks - Monthly'!C41),"",'Investment Case Asks - Monthly'!C41)</f>
        <v/>
      </c>
      <c r="D41" s="41" t="str">
        <f>IF(ISBLANK('Investment Case Asks - Monthly'!Q41),"",'Investment Case Asks - Monthly'!Q41)</f>
        <v/>
      </c>
      <c r="E41" s="65" t="str">
        <f>IF(ISBLANK('Investment Case Asks - Monthly'!AD41),"",'Investment Case Asks - Monthly'!AD41)</f>
        <v/>
      </c>
      <c r="F41" s="69" t="str">
        <f>IF(ISBLANK('Investment Case Asks - Monthly'!AQ41),"",'Investment Case Asks - Monthly'!AQ41)</f>
        <v/>
      </c>
      <c r="G41" s="69" t="str">
        <f>IF(ISBLANK('Investment Case Asks - Monthly'!AR41),"",'Investment Case Asks - Monthly'!AR41)</f>
        <v/>
      </c>
      <c r="H41" s="37"/>
      <c r="I41" s="38"/>
      <c r="J41" s="38"/>
      <c r="K41" s="38"/>
      <c r="L41" s="37"/>
      <c r="M41" s="37"/>
      <c r="N41" s="37"/>
      <c r="O41" s="37"/>
      <c r="P41" s="37"/>
      <c r="Q41" s="37"/>
      <c r="R41" s="38"/>
      <c r="S41" s="37"/>
      <c r="T41" s="37"/>
      <c r="U41" s="37"/>
    </row>
    <row r="42" spans="1:21" x14ac:dyDescent="0.35">
      <c r="A42" s="63" t="str">
        <f>IF(ISBLANK('Investment Case Asks - Monthly'!A42),"",'Investment Case Asks - Monthly'!A42)</f>
        <v/>
      </c>
      <c r="B42" s="63" t="str">
        <f>IF(ISBLANK('Investment Case Asks - Monthly'!B42),"",'Investment Case Asks - Monthly'!B42)</f>
        <v/>
      </c>
      <c r="C42" s="63" t="str">
        <f>IF(ISBLANK('Investment Case Asks - Monthly'!C42),"",'Investment Case Asks - Monthly'!C42)</f>
        <v/>
      </c>
      <c r="D42" s="41" t="str">
        <f>IF(ISBLANK('Investment Case Asks - Monthly'!Q42),"",'Investment Case Asks - Monthly'!Q42)</f>
        <v/>
      </c>
      <c r="E42" s="65" t="str">
        <f>IF(ISBLANK('Investment Case Asks - Monthly'!AD42),"",'Investment Case Asks - Monthly'!AD42)</f>
        <v/>
      </c>
      <c r="F42" s="69" t="str">
        <f>IF(ISBLANK('Investment Case Asks - Monthly'!AQ42),"",'Investment Case Asks - Monthly'!AQ42)</f>
        <v/>
      </c>
      <c r="G42" s="69" t="str">
        <f>IF(ISBLANK('Investment Case Asks - Monthly'!AR42),"",'Investment Case Asks - Monthly'!AR42)</f>
        <v/>
      </c>
      <c r="H42" s="37"/>
      <c r="I42" s="38"/>
      <c r="J42" s="38"/>
      <c r="K42" s="38"/>
      <c r="L42" s="37"/>
      <c r="M42" s="37"/>
      <c r="N42" s="37"/>
      <c r="O42" s="37"/>
      <c r="P42" s="37"/>
      <c r="Q42" s="37"/>
      <c r="R42" s="38"/>
      <c r="S42" s="37"/>
      <c r="T42" s="37"/>
      <c r="U42" s="37"/>
    </row>
    <row r="43" spans="1:21" x14ac:dyDescent="0.35">
      <c r="A43" s="37"/>
      <c r="B43" s="37"/>
      <c r="C43" s="37"/>
      <c r="D43" s="37"/>
      <c r="E43" s="38"/>
      <c r="F43" s="37"/>
      <c r="G43" s="37"/>
      <c r="H43" s="37"/>
      <c r="I43" s="38"/>
      <c r="J43" s="38"/>
      <c r="K43" s="38"/>
      <c r="L43" s="37"/>
      <c r="M43" s="37"/>
      <c r="N43" s="37"/>
      <c r="O43" s="37"/>
      <c r="P43" s="37"/>
      <c r="Q43" s="37"/>
      <c r="R43" s="38"/>
      <c r="S43" s="37"/>
      <c r="T43" s="37"/>
      <c r="U43" s="37"/>
    </row>
    <row r="44" spans="1:21" ht="15" thickBot="1" x14ac:dyDescent="0.4">
      <c r="A44" s="45" t="s">
        <v>78</v>
      </c>
      <c r="B44" s="45"/>
      <c r="C44" s="45"/>
      <c r="D44" s="46">
        <f>SUM(D28:D42)</f>
        <v>0</v>
      </c>
      <c r="E44" s="46">
        <f t="shared" ref="E44:F44" si="0">SUM(E28:E42)</f>
        <v>0</v>
      </c>
      <c r="F44" s="46">
        <f t="shared" si="0"/>
        <v>0</v>
      </c>
      <c r="G44" s="45"/>
      <c r="H44" s="37"/>
      <c r="I44" s="38"/>
      <c r="J44" s="38"/>
      <c r="K44" s="38"/>
      <c r="L44" s="37"/>
      <c r="M44" s="37"/>
      <c r="N44" s="37"/>
      <c r="O44" s="37"/>
      <c r="P44" s="37"/>
      <c r="Q44" s="37"/>
      <c r="R44" s="38"/>
      <c r="S44" s="37"/>
      <c r="T44" s="37"/>
      <c r="U44" s="37"/>
    </row>
    <row r="45" spans="1:21" ht="15" thickTop="1" x14ac:dyDescent="0.35">
      <c r="L45" s="3"/>
      <c r="O45" s="3"/>
      <c r="P45" s="3"/>
      <c r="Q45" s="3"/>
      <c r="S45" s="3"/>
    </row>
    <row r="46" spans="1:21" x14ac:dyDescent="0.35">
      <c r="L46" s="3"/>
      <c r="O46" s="3"/>
      <c r="P46" s="3"/>
      <c r="Q46" s="3"/>
    </row>
    <row r="47" spans="1:21" x14ac:dyDescent="0.35">
      <c r="O47" s="3"/>
      <c r="P47" s="3"/>
      <c r="Q47" s="3"/>
      <c r="R47" s="3"/>
    </row>
    <row r="48" spans="1:21" x14ac:dyDescent="0.35">
      <c r="O48" s="3"/>
      <c r="P48" s="3"/>
      <c r="Q48" s="3"/>
      <c r="R48" s="3"/>
    </row>
    <row r="49" spans="15:18" x14ac:dyDescent="0.35">
      <c r="O49" s="3"/>
      <c r="P49" s="3"/>
      <c r="Q49" s="3"/>
      <c r="R49" s="3"/>
    </row>
    <row r="50" spans="15:18" x14ac:dyDescent="0.35">
      <c r="O50" s="3"/>
      <c r="P50" s="3"/>
      <c r="Q50" s="3"/>
      <c r="R50" s="3"/>
    </row>
  </sheetData>
  <sheetProtection algorithmName="SHA-512" hashValue="dqYvoKPH/sRQTrVBweakRCeRqRhHYVD2XJjeJwUl7EzoC4DgTikq+yJkM5Jz75TLEWZiKZUQALqhzqIgVjs6Zw==" saltValue="/0t3cj6B7e5wlUr3zd2AbA==" spinCount="100000" sheet="1" objects="1" scenarios="1" selectLockedCells="1" selectUnlockedCells="1"/>
  <mergeCells count="4">
    <mergeCell ref="A3:R3"/>
    <mergeCell ref="T3:W3"/>
    <mergeCell ref="A1:W1"/>
    <mergeCell ref="A26:G26"/>
  </mergeCells>
  <phoneticPr fontId="9" type="noConversion"/>
  <pageMargins left="0.7" right="0.7" top="0.75" bottom="0.75" header="0.3" footer="0.3"/>
  <customProperties>
    <customPr name="isReportSheetChanged" r:id="rId1"/>
  </customProperties>
  <ignoredErrors>
    <ignoredError sqref="A28:A42 C29:D42 C28:D28 E28:G42 A5:H20 D44:G44 G22:R22 R5:R20 U5:U7 V5:W7" unlockedFormula="1"/>
    <ignoredError sqref="B28:B42" unlockedFormula="1" listDataValidation="1"/>
  </ignoredErrors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1F92C-AF84-479D-ACBE-9890BA158763}">
  <dimension ref="A1:BC50"/>
  <sheetViews>
    <sheetView zoomScale="60" zoomScaleNormal="60" workbookViewId="0">
      <selection activeCell="A11" sqref="A11:G11 I11:M11"/>
    </sheetView>
  </sheetViews>
  <sheetFormatPr defaultRowHeight="14.5" x14ac:dyDescent="0.35"/>
  <cols>
    <col min="1" max="1" width="31.54296875" style="3" customWidth="1"/>
    <col min="2" max="2" width="28.7265625" style="3" bestFit="1" customWidth="1"/>
    <col min="3" max="3" width="21.90625" style="3" bestFit="1" customWidth="1"/>
    <col min="4" max="4" width="28.26953125" style="3" bestFit="1" customWidth="1"/>
    <col min="5" max="5" width="28.26953125" style="4" bestFit="1" customWidth="1"/>
    <col min="6" max="6" width="16.453125" style="4" bestFit="1" customWidth="1"/>
    <col min="7" max="7" width="17.6328125" style="4" bestFit="1" customWidth="1"/>
    <col min="8" max="8" width="15.36328125" style="4" bestFit="1" customWidth="1"/>
    <col min="9" max="9" width="14.81640625" style="4" bestFit="1" customWidth="1"/>
    <col min="10" max="10" width="19.1796875" style="4" bestFit="1" customWidth="1"/>
    <col min="11" max="11" width="15.36328125" style="4" bestFit="1" customWidth="1"/>
    <col min="12" max="12" width="15.7265625" style="4" bestFit="1" customWidth="1"/>
    <col min="13" max="13" width="14.36328125" style="3" bestFit="1" customWidth="1"/>
    <col min="14" max="14" width="23.453125" style="3" bestFit="1" customWidth="1"/>
    <col min="15" max="15" width="14.6328125" style="4" bestFit="1" customWidth="1"/>
    <col min="16" max="16" width="14.36328125" style="4" bestFit="1" customWidth="1"/>
    <col min="17" max="17" width="29.1796875" style="4" bestFit="1" customWidth="1"/>
    <col min="18" max="18" width="14.36328125" style="4" bestFit="1" customWidth="1"/>
    <col min="19" max="19" width="14.81640625" style="4" bestFit="1" customWidth="1"/>
    <col min="20" max="20" width="14.6328125" style="4" bestFit="1" customWidth="1"/>
    <col min="21" max="21" width="14.36328125" style="4" bestFit="1" customWidth="1"/>
    <col min="22" max="22" width="14.81640625" style="4" bestFit="1" customWidth="1"/>
    <col min="23" max="23" width="14.36328125" style="4" bestFit="1" customWidth="1"/>
    <col min="24" max="24" width="14.1796875" style="4" bestFit="1" customWidth="1"/>
    <col min="25" max="25" width="14.6328125" style="4" bestFit="1" customWidth="1"/>
    <col min="26" max="26" width="14.36328125" style="4" bestFit="1" customWidth="1"/>
    <col min="27" max="27" width="29.1796875" style="4" bestFit="1" customWidth="1"/>
    <col min="28" max="28" width="14.6328125" style="4" bestFit="1" customWidth="1"/>
    <col min="29" max="29" width="14.36328125" style="4" bestFit="1" customWidth="1"/>
    <col min="30" max="30" width="29.1796875" style="4" bestFit="1" customWidth="1"/>
    <col min="31" max="31" width="14.36328125" style="4" bestFit="1" customWidth="1"/>
    <col min="32" max="32" width="14.81640625" style="4" bestFit="1" customWidth="1"/>
    <col min="33" max="33" width="14.6328125" style="4" bestFit="1" customWidth="1"/>
    <col min="34" max="34" width="14.36328125" style="4" bestFit="1" customWidth="1"/>
    <col min="35" max="35" width="14.81640625" style="4" bestFit="1" customWidth="1"/>
    <col min="36" max="36" width="14.36328125" style="4" bestFit="1" customWidth="1"/>
    <col min="37" max="37" width="14.1796875" style="4" bestFit="1" customWidth="1"/>
    <col min="38" max="38" width="14.6328125" style="4" bestFit="1" customWidth="1"/>
    <col min="39" max="39" width="14.36328125" style="4" bestFit="1" customWidth="1"/>
    <col min="40" max="40" width="29.1796875" style="4" bestFit="1" customWidth="1"/>
    <col min="41" max="41" width="14.6328125" style="4" bestFit="1" customWidth="1"/>
    <col min="42" max="42" width="14.36328125" style="4" bestFit="1" customWidth="1"/>
    <col min="43" max="43" width="29.1796875" style="4" bestFit="1" customWidth="1"/>
    <col min="44" max="44" width="30.36328125" style="4" bestFit="1" customWidth="1"/>
    <col min="45" max="45" width="14.81640625" style="4" bestFit="1" customWidth="1"/>
    <col min="46" max="46" width="14" style="4" bestFit="1" customWidth="1"/>
    <col min="47" max="47" width="13.453125" style="4" bestFit="1" customWidth="1"/>
    <col min="48" max="48" width="14.453125" style="4" bestFit="1" customWidth="1"/>
    <col min="49" max="49" width="14.36328125" style="4" bestFit="1" customWidth="1"/>
    <col min="50" max="50" width="14.1796875" style="4" bestFit="1" customWidth="1"/>
    <col min="51" max="51" width="14.6328125" style="4" bestFit="1" customWidth="1"/>
    <col min="52" max="52" width="14.36328125" style="4" bestFit="1" customWidth="1"/>
    <col min="53" max="53" width="29.1796875" style="4" bestFit="1" customWidth="1"/>
    <col min="54" max="54" width="30.36328125" style="4" bestFit="1" customWidth="1"/>
    <col min="55" max="55" width="11" style="4" customWidth="1"/>
    <col min="56" max="16384" width="8.7265625" style="3"/>
  </cols>
  <sheetData>
    <row r="1" spans="1:55" x14ac:dyDescent="0.35">
      <c r="A1" s="73" t="s">
        <v>162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1"/>
    </row>
    <row r="2" spans="1:55" x14ac:dyDescent="0.35">
      <c r="A2" s="37"/>
      <c r="B2" s="37"/>
      <c r="C2" s="37"/>
      <c r="D2" s="37"/>
      <c r="E2" s="38"/>
      <c r="F2" s="38"/>
      <c r="G2" s="38"/>
      <c r="H2" s="38"/>
      <c r="I2" s="38"/>
      <c r="J2" s="38"/>
      <c r="K2" s="38"/>
      <c r="L2" s="38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8"/>
    </row>
    <row r="3" spans="1:55" x14ac:dyDescent="0.35">
      <c r="A3" s="72" t="s">
        <v>41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38"/>
    </row>
    <row r="4" spans="1:55" s="5" customFormat="1" x14ac:dyDescent="0.35">
      <c r="A4" s="39" t="s">
        <v>52</v>
      </c>
      <c r="B4" s="39" t="s">
        <v>53</v>
      </c>
      <c r="C4" s="39" t="s">
        <v>42</v>
      </c>
      <c r="D4" s="39" t="s">
        <v>79</v>
      </c>
      <c r="E4" s="39" t="s">
        <v>80</v>
      </c>
      <c r="F4" s="39" t="s">
        <v>43</v>
      </c>
      <c r="G4" s="39" t="s">
        <v>44</v>
      </c>
      <c r="H4" s="39" t="s">
        <v>45</v>
      </c>
      <c r="I4" s="58" t="s">
        <v>57</v>
      </c>
      <c r="J4" s="58" t="s">
        <v>48</v>
      </c>
      <c r="K4" s="58" t="s">
        <v>49</v>
      </c>
      <c r="L4" s="58" t="s">
        <v>50</v>
      </c>
      <c r="M4" s="58" t="s">
        <v>51</v>
      </c>
      <c r="N4" s="58" t="s">
        <v>157</v>
      </c>
      <c r="O4" s="61" t="s">
        <v>121</v>
      </c>
      <c r="P4" s="61" t="s">
        <v>122</v>
      </c>
      <c r="Q4" s="61" t="s">
        <v>123</v>
      </c>
      <c r="R4" s="61" t="s">
        <v>124</v>
      </c>
      <c r="S4" s="61" t="s">
        <v>125</v>
      </c>
      <c r="T4" s="61" t="s">
        <v>126</v>
      </c>
      <c r="U4" s="61" t="s">
        <v>127</v>
      </c>
      <c r="V4" s="61" t="s">
        <v>128</v>
      </c>
      <c r="W4" s="61" t="s">
        <v>129</v>
      </c>
      <c r="X4" s="61" t="s">
        <v>130</v>
      </c>
      <c r="Y4" s="61" t="s">
        <v>131</v>
      </c>
      <c r="Z4" s="61" t="s">
        <v>132</v>
      </c>
      <c r="AA4" s="61" t="s">
        <v>37</v>
      </c>
      <c r="AB4" s="61" t="s">
        <v>134</v>
      </c>
      <c r="AC4" s="61" t="s">
        <v>135</v>
      </c>
      <c r="AD4" s="61" t="s">
        <v>136</v>
      </c>
      <c r="AE4" s="61" t="s">
        <v>137</v>
      </c>
      <c r="AF4" s="61" t="s">
        <v>138</v>
      </c>
      <c r="AG4" s="61" t="s">
        <v>139</v>
      </c>
      <c r="AH4" s="61" t="s">
        <v>140</v>
      </c>
      <c r="AI4" s="61" t="s">
        <v>141</v>
      </c>
      <c r="AJ4" s="61" t="s">
        <v>142</v>
      </c>
      <c r="AK4" s="61" t="s">
        <v>143</v>
      </c>
      <c r="AL4" s="61" t="s">
        <v>144</v>
      </c>
      <c r="AM4" s="61" t="s">
        <v>133</v>
      </c>
      <c r="AN4" s="61" t="s">
        <v>119</v>
      </c>
      <c r="AO4" s="61" t="s">
        <v>145</v>
      </c>
      <c r="AP4" s="61" t="s">
        <v>146</v>
      </c>
      <c r="AQ4" s="61" t="s">
        <v>147</v>
      </c>
      <c r="AR4" s="61" t="s">
        <v>148</v>
      </c>
      <c r="AS4" s="61" t="s">
        <v>149</v>
      </c>
      <c r="AT4" s="61" t="s">
        <v>150</v>
      </c>
      <c r="AU4" s="61" t="s">
        <v>151</v>
      </c>
      <c r="AV4" s="61" t="s">
        <v>152</v>
      </c>
      <c r="AW4" s="61" t="s">
        <v>153</v>
      </c>
      <c r="AX4" s="61" t="s">
        <v>154</v>
      </c>
      <c r="AY4" s="61" t="s">
        <v>155</v>
      </c>
      <c r="AZ4" s="61" t="s">
        <v>156</v>
      </c>
      <c r="BA4" s="61" t="s">
        <v>120</v>
      </c>
      <c r="BB4" s="39" t="s">
        <v>38</v>
      </c>
      <c r="BC4" s="40"/>
    </row>
    <row r="5" spans="1:55" x14ac:dyDescent="0.35">
      <c r="A5" s="41"/>
      <c r="B5" s="41"/>
      <c r="C5" s="41"/>
      <c r="D5" s="42"/>
      <c r="E5" s="43"/>
      <c r="F5" s="42"/>
      <c r="G5" s="43"/>
      <c r="H5" s="44"/>
      <c r="I5" s="60" t="str">
        <f>IF(OR(COUNTA(tblPayrollIncrementalSpend2[[#This Row],[Job Title]:[Hire Date]])&gt;0,AND(ROW()=ROW(G5),tblPayrollIncrementalSpend2[[#This Row],[Base Salary]]&lt;&gt;"")),N(tblPayrollIncrementalSpend2[[#This Row],[Base Salary]])*N(tblPayrollIncrementalSpend2[[#This Row],[Bonus %]]),"")</f>
        <v/>
      </c>
      <c r="J5" s="60" t="str">
        <f>IF(OR(COUNTA(tblPayrollIncrementalSpend2[[#This Row],[Job Title]:[Hire Date]])&gt;0,AND(ROW()=ROW(G5),tblPayrollIncrementalSpend2[[#This Row],[Base Salary]]&lt;&gt;"")),N(tblPayrollIncrementalSpend2[[#This Row],[Base Salary]])*'Base - Payroll'!$E$12,"")</f>
        <v/>
      </c>
      <c r="K5" s="60" t="str">
        <f>IF(OR(COUNTA(tblPayrollIncrementalSpend2[[#This Row],[Job Title]:[Hire Date]])&gt;0,AND(ROW()=ROW(G5),tblPayrollIncrementalSpend2[[#This Row],[Base Salary]]&lt;&gt;"")),N(tblPayrollIncrementalSpend2[[#This Row],[Base Salary]])*'Base - Payroll'!$E$13,"")</f>
        <v/>
      </c>
      <c r="L5" s="60" t="str">
        <f>IF(OR(COUNTA(tblPayrollIncrementalSpend2[[#This Row],[Job Title]:[Hire Date]])&gt;0,AND(ROW()=ROW(G5),tblPayrollIncrementalSpend2[[#This Row],[Base Salary]]&lt;&gt;"")),N(tblPayrollIncrementalSpend2[[#This Row],[Base Salary]])*'Base - Payroll'!$E$15,"")</f>
        <v/>
      </c>
      <c r="M5" s="60" t="str">
        <f>IF(OR(COUNTA(tblPayrollIncrementalSpend2[[#This Row],[Job Title]:[Hire Date]])&gt;0,AND(ROW()=ROW(G5),tblPayrollIncrementalSpend2[[#This Row],[Base Salary]]&lt;&gt;"")),N(tblPayrollIncrementalSpend2[[#This Row],[Base Salary]])*'Base - Payroll'!$E$16,"")</f>
        <v/>
      </c>
      <c r="N5" s="60" t="str">
        <f>IF(OR(COUNTA(tblPayrollIncrementalSpend2[[#This Row],[Job Title]:[Hire Date]])&gt;0,AND(ROW()=ROW(G5),tblPayrollIncrementalSpend2[[#This Row],[Base Salary]]&lt;&gt;"")),N(tblPayrollIncrementalSpend2[[#This Row],[Base Salary]])+SUM(tblPayrollIncrementalSpend2[[#This Row],[Bonus]:[Other]]),"")</f>
        <v/>
      </c>
      <c r="O5" s="60" t="str">
        <f t="shared" ref="O5:Z14" si="0">_xlfn.LET(_xlpm.m,IF(ISNUMBER(O$4),DATE(YEAR(O$4),MONTH(O$4),1),DATEVALUE("1-"&amp;O$4)),IF(OR(COUNTA($A5:$F5)&gt;0,$G5&lt;&gt;""),$N5/12*IF($F5="",1,MAX(0,(EOMONTH(_xlpm.m,0)-MAX($F5,_xlpm.m)+1)/(EOMONTH(_xlpm.m,0)-_xlpm.m+1))),""))</f>
        <v/>
      </c>
      <c r="P5" s="60" t="str">
        <f t="shared" si="0"/>
        <v/>
      </c>
      <c r="Q5" s="60" t="str">
        <f t="shared" si="0"/>
        <v/>
      </c>
      <c r="R5" s="60" t="str">
        <f t="shared" si="0"/>
        <v/>
      </c>
      <c r="S5" s="60" t="str">
        <f t="shared" si="0"/>
        <v/>
      </c>
      <c r="T5" s="60" t="str">
        <f t="shared" si="0"/>
        <v/>
      </c>
      <c r="U5" s="60" t="str">
        <f t="shared" si="0"/>
        <v/>
      </c>
      <c r="V5" s="60" t="str">
        <f t="shared" si="0"/>
        <v/>
      </c>
      <c r="W5" s="60" t="str">
        <f t="shared" si="0"/>
        <v/>
      </c>
      <c r="X5" s="60" t="str">
        <f t="shared" si="0"/>
        <v/>
      </c>
      <c r="Y5" s="60" t="str">
        <f t="shared" si="0"/>
        <v/>
      </c>
      <c r="Z5" s="60" t="str">
        <f t="shared" si="0"/>
        <v/>
      </c>
      <c r="AA5" s="60" t="str">
        <f t="shared" ref="AA5:AA20" si="1">IF(OR(COUNTA($A5:$F5)&gt;0,$G5&lt;&gt;""),SUM(O5:Z5),"")</f>
        <v/>
      </c>
      <c r="AB5" s="60" t="str">
        <f t="shared" ref="AB5:AM14" si="2">_xlfn.LET(_xlpm.m,IF(ISNUMBER(AB$4),DATE(YEAR(AB$4),MONTH(AB$4),1),DATEVALUE("1-"&amp;AB$4)),IF(OR(COUNTA($A5:$F5)&gt;0,$G5&lt;&gt;""),$N5/12*IF($F5="",1,MAX(0,(EOMONTH(_xlpm.m,0)-MAX($F5,_xlpm.m)+1)/(EOMONTH(_xlpm.m,0)-_xlpm.m+1))),""))</f>
        <v/>
      </c>
      <c r="AC5" s="60" t="str">
        <f t="shared" si="2"/>
        <v/>
      </c>
      <c r="AD5" s="60" t="str">
        <f t="shared" si="2"/>
        <v/>
      </c>
      <c r="AE5" s="60" t="str">
        <f t="shared" si="2"/>
        <v/>
      </c>
      <c r="AF5" s="60" t="str">
        <f t="shared" si="2"/>
        <v/>
      </c>
      <c r="AG5" s="60" t="str">
        <f t="shared" si="2"/>
        <v/>
      </c>
      <c r="AH5" s="60" t="str">
        <f t="shared" si="2"/>
        <v/>
      </c>
      <c r="AI5" s="60" t="str">
        <f t="shared" si="2"/>
        <v/>
      </c>
      <c r="AJ5" s="60" t="str">
        <f t="shared" si="2"/>
        <v/>
      </c>
      <c r="AK5" s="60" t="str">
        <f t="shared" si="2"/>
        <v/>
      </c>
      <c r="AL5" s="60" t="str">
        <f t="shared" si="2"/>
        <v/>
      </c>
      <c r="AM5" s="60" t="str">
        <f t="shared" si="2"/>
        <v/>
      </c>
      <c r="AN5" s="60" t="str">
        <f t="shared" ref="AN5:AN20" si="3">IF(OR(COUNTA($A5:$F5)&gt;0,$G5&lt;&gt;""),SUM(AB5:AM5),"")</f>
        <v/>
      </c>
      <c r="AO5" s="60" t="str">
        <f t="shared" ref="AO5:AZ14" si="4">_xlfn.LET(_xlpm.m,IF(ISNUMBER(AO$4),DATE(YEAR(AO$4),MONTH(AO$4),1),DATEVALUE("1-"&amp;AO$4)),IF(OR(COUNTA($A5:$F5)&gt;0,$G5&lt;&gt;""),$N5/12*IF($F5="",1,MAX(0,(EOMONTH(_xlpm.m,0)-MAX($F5,_xlpm.m)+1)/(EOMONTH(_xlpm.m,0)-_xlpm.m+1))),""))</f>
        <v/>
      </c>
      <c r="AP5" s="60" t="str">
        <f t="shared" si="4"/>
        <v/>
      </c>
      <c r="AQ5" s="60" t="str">
        <f t="shared" si="4"/>
        <v/>
      </c>
      <c r="AR5" s="60" t="str">
        <f t="shared" si="4"/>
        <v/>
      </c>
      <c r="AS5" s="60" t="str">
        <f t="shared" si="4"/>
        <v/>
      </c>
      <c r="AT5" s="60" t="str">
        <f t="shared" si="4"/>
        <v/>
      </c>
      <c r="AU5" s="60" t="str">
        <f t="shared" si="4"/>
        <v/>
      </c>
      <c r="AV5" s="60" t="str">
        <f t="shared" si="4"/>
        <v/>
      </c>
      <c r="AW5" s="60" t="str">
        <f t="shared" si="4"/>
        <v/>
      </c>
      <c r="AX5" s="60" t="str">
        <f t="shared" si="4"/>
        <v/>
      </c>
      <c r="AY5" s="60" t="str">
        <f t="shared" si="4"/>
        <v/>
      </c>
      <c r="AZ5" s="60" t="str">
        <f t="shared" si="4"/>
        <v/>
      </c>
      <c r="BA5" s="60" t="str">
        <f t="shared" ref="BA5:BA20" si="5">IF(OR(COUNTA($A5:$F5)&gt;0,$G5&lt;&gt;""),SUM(AO5:AZ5),"")</f>
        <v/>
      </c>
      <c r="BB5" s="43"/>
      <c r="BC5" s="38"/>
    </row>
    <row r="6" spans="1:55" x14ac:dyDescent="0.35">
      <c r="A6" s="41"/>
      <c r="B6" s="41"/>
      <c r="C6" s="41"/>
      <c r="D6" s="42"/>
      <c r="E6" s="43"/>
      <c r="F6" s="42"/>
      <c r="G6" s="43"/>
      <c r="H6" s="44"/>
      <c r="I6" s="60" t="str">
        <f>IF(OR(COUNTA(tblPayrollIncrementalSpend2[[#This Row],[Job Title]:[Hire Date]])&gt;0,AND(ROW()=ROW(G6),tblPayrollIncrementalSpend2[[#This Row],[Base Salary]]&lt;&gt;"")),N(tblPayrollIncrementalSpend2[[#This Row],[Base Salary]])*N(tblPayrollIncrementalSpend2[[#This Row],[Bonus %]]),"")</f>
        <v/>
      </c>
      <c r="J6" s="60" t="str">
        <f>IF(OR(COUNTA(tblPayrollIncrementalSpend2[[#This Row],[Job Title]:[Hire Date]])&gt;0,AND(ROW()=ROW(G6),tblPayrollIncrementalSpend2[[#This Row],[Base Salary]]&lt;&gt;"")),N(tblPayrollIncrementalSpend2[[#This Row],[Base Salary]])*'Base - Payroll'!$E$12,"")</f>
        <v/>
      </c>
      <c r="K6" s="60" t="str">
        <f>IF(OR(COUNTA(tblPayrollIncrementalSpend2[[#This Row],[Job Title]:[Hire Date]])&gt;0,AND(ROW()=ROW(G6),tblPayrollIncrementalSpend2[[#This Row],[Base Salary]]&lt;&gt;"")),N(tblPayrollIncrementalSpend2[[#This Row],[Base Salary]])*'Base - Payroll'!$E$13,"")</f>
        <v/>
      </c>
      <c r="L6" s="60" t="str">
        <f>IF(OR(COUNTA(tblPayrollIncrementalSpend2[[#This Row],[Job Title]:[Hire Date]])&gt;0,AND(ROW()=ROW(G6),tblPayrollIncrementalSpend2[[#This Row],[Base Salary]]&lt;&gt;"")),N(tblPayrollIncrementalSpend2[[#This Row],[Base Salary]])*'Base - Payroll'!$E$15,"")</f>
        <v/>
      </c>
      <c r="M6" s="60" t="str">
        <f>IF(OR(COUNTA(tblPayrollIncrementalSpend2[[#This Row],[Job Title]:[Hire Date]])&gt;0,AND(ROW()=ROW(G6),tblPayrollIncrementalSpend2[[#This Row],[Base Salary]]&lt;&gt;"")),N(tblPayrollIncrementalSpend2[[#This Row],[Base Salary]])*'Base - Payroll'!$E$16,"")</f>
        <v/>
      </c>
      <c r="N6" s="60" t="str">
        <f>IF(OR(COUNTA(tblPayrollIncrementalSpend2[[#This Row],[Job Title]:[Hire Date]])&gt;0,AND(ROW()=ROW(G6),tblPayrollIncrementalSpend2[[#This Row],[Base Salary]]&lt;&gt;"")),N(tblPayrollIncrementalSpend2[[#This Row],[Base Salary]])+SUM(tblPayrollIncrementalSpend2[[#This Row],[Bonus]:[Other]]),"")</f>
        <v/>
      </c>
      <c r="O6" s="60" t="str">
        <f t="shared" si="0"/>
        <v/>
      </c>
      <c r="P6" s="60" t="str">
        <f t="shared" si="0"/>
        <v/>
      </c>
      <c r="Q6" s="60" t="str">
        <f t="shared" si="0"/>
        <v/>
      </c>
      <c r="R6" s="60" t="str">
        <f t="shared" si="0"/>
        <v/>
      </c>
      <c r="S6" s="60" t="str">
        <f t="shared" si="0"/>
        <v/>
      </c>
      <c r="T6" s="60" t="str">
        <f t="shared" si="0"/>
        <v/>
      </c>
      <c r="U6" s="60" t="str">
        <f t="shared" si="0"/>
        <v/>
      </c>
      <c r="V6" s="60" t="str">
        <f t="shared" si="0"/>
        <v/>
      </c>
      <c r="W6" s="60" t="str">
        <f t="shared" si="0"/>
        <v/>
      </c>
      <c r="X6" s="60" t="str">
        <f t="shared" si="0"/>
        <v/>
      </c>
      <c r="Y6" s="60" t="str">
        <f t="shared" si="0"/>
        <v/>
      </c>
      <c r="Z6" s="60" t="str">
        <f t="shared" si="0"/>
        <v/>
      </c>
      <c r="AA6" s="60" t="str">
        <f t="shared" si="1"/>
        <v/>
      </c>
      <c r="AB6" s="60" t="str">
        <f t="shared" si="2"/>
        <v/>
      </c>
      <c r="AC6" s="60" t="str">
        <f t="shared" si="2"/>
        <v/>
      </c>
      <c r="AD6" s="60" t="str">
        <f t="shared" si="2"/>
        <v/>
      </c>
      <c r="AE6" s="60" t="str">
        <f t="shared" si="2"/>
        <v/>
      </c>
      <c r="AF6" s="60" t="str">
        <f t="shared" si="2"/>
        <v/>
      </c>
      <c r="AG6" s="60" t="str">
        <f t="shared" si="2"/>
        <v/>
      </c>
      <c r="AH6" s="60" t="str">
        <f t="shared" si="2"/>
        <v/>
      </c>
      <c r="AI6" s="60" t="str">
        <f t="shared" si="2"/>
        <v/>
      </c>
      <c r="AJ6" s="60" t="str">
        <f t="shared" si="2"/>
        <v/>
      </c>
      <c r="AK6" s="60" t="str">
        <f t="shared" si="2"/>
        <v/>
      </c>
      <c r="AL6" s="60" t="str">
        <f t="shared" si="2"/>
        <v/>
      </c>
      <c r="AM6" s="60" t="str">
        <f t="shared" si="2"/>
        <v/>
      </c>
      <c r="AN6" s="60" t="str">
        <f t="shared" si="3"/>
        <v/>
      </c>
      <c r="AO6" s="60" t="str">
        <f t="shared" si="4"/>
        <v/>
      </c>
      <c r="AP6" s="60" t="str">
        <f t="shared" si="4"/>
        <v/>
      </c>
      <c r="AQ6" s="60" t="str">
        <f t="shared" si="4"/>
        <v/>
      </c>
      <c r="AR6" s="60" t="str">
        <f t="shared" si="4"/>
        <v/>
      </c>
      <c r="AS6" s="60" t="str">
        <f t="shared" si="4"/>
        <v/>
      </c>
      <c r="AT6" s="60" t="str">
        <f t="shared" si="4"/>
        <v/>
      </c>
      <c r="AU6" s="60" t="str">
        <f t="shared" si="4"/>
        <v/>
      </c>
      <c r="AV6" s="60" t="str">
        <f t="shared" si="4"/>
        <v/>
      </c>
      <c r="AW6" s="60" t="str">
        <f t="shared" si="4"/>
        <v/>
      </c>
      <c r="AX6" s="60" t="str">
        <f t="shared" si="4"/>
        <v/>
      </c>
      <c r="AY6" s="60" t="str">
        <f t="shared" si="4"/>
        <v/>
      </c>
      <c r="AZ6" s="60" t="str">
        <f t="shared" si="4"/>
        <v/>
      </c>
      <c r="BA6" s="60" t="str">
        <f t="shared" si="5"/>
        <v/>
      </c>
      <c r="BB6" s="43"/>
      <c r="BC6" s="38"/>
    </row>
    <row r="7" spans="1:55" x14ac:dyDescent="0.35">
      <c r="A7" s="41"/>
      <c r="B7" s="41"/>
      <c r="C7" s="41"/>
      <c r="D7" s="42"/>
      <c r="E7" s="43"/>
      <c r="F7" s="42"/>
      <c r="G7" s="43"/>
      <c r="H7" s="44"/>
      <c r="I7" s="60" t="str">
        <f>IF(OR(COUNTA(tblPayrollIncrementalSpend2[[#This Row],[Job Title]:[Hire Date]])&gt;0,AND(ROW()=ROW(G7),tblPayrollIncrementalSpend2[[#This Row],[Base Salary]]&lt;&gt;"")),N(tblPayrollIncrementalSpend2[[#This Row],[Base Salary]])*N(tblPayrollIncrementalSpend2[[#This Row],[Bonus %]]),"")</f>
        <v/>
      </c>
      <c r="J7" s="60" t="str">
        <f>IF(OR(COUNTA(tblPayrollIncrementalSpend2[[#This Row],[Job Title]:[Hire Date]])&gt;0,AND(ROW()=ROW(G7),tblPayrollIncrementalSpend2[[#This Row],[Base Salary]]&lt;&gt;"")),N(tblPayrollIncrementalSpend2[[#This Row],[Base Salary]])*'Base - Payroll'!$E$12,"")</f>
        <v/>
      </c>
      <c r="K7" s="60" t="str">
        <f>IF(OR(COUNTA(tblPayrollIncrementalSpend2[[#This Row],[Job Title]:[Hire Date]])&gt;0,AND(ROW()=ROW(G7),tblPayrollIncrementalSpend2[[#This Row],[Base Salary]]&lt;&gt;"")),N(tblPayrollIncrementalSpend2[[#This Row],[Base Salary]])*'Base - Payroll'!$E$13,"")</f>
        <v/>
      </c>
      <c r="L7" s="60" t="str">
        <f>IF(OR(COUNTA(tblPayrollIncrementalSpend2[[#This Row],[Job Title]:[Hire Date]])&gt;0,AND(ROW()=ROW(G7),tblPayrollIncrementalSpend2[[#This Row],[Base Salary]]&lt;&gt;"")),N(tblPayrollIncrementalSpend2[[#This Row],[Base Salary]])*'Base - Payroll'!$E$15,"")</f>
        <v/>
      </c>
      <c r="M7" s="60" t="str">
        <f>IF(OR(COUNTA(tblPayrollIncrementalSpend2[[#This Row],[Job Title]:[Hire Date]])&gt;0,AND(ROW()=ROW(G7),tblPayrollIncrementalSpend2[[#This Row],[Base Salary]]&lt;&gt;"")),N(tblPayrollIncrementalSpend2[[#This Row],[Base Salary]])*'Base - Payroll'!$E$16,"")</f>
        <v/>
      </c>
      <c r="N7" s="60" t="str">
        <f>IF(OR(COUNTA(tblPayrollIncrementalSpend2[[#This Row],[Job Title]:[Hire Date]])&gt;0,AND(ROW()=ROW(G7),tblPayrollIncrementalSpend2[[#This Row],[Base Salary]]&lt;&gt;"")),N(tblPayrollIncrementalSpend2[[#This Row],[Base Salary]])+SUM(tblPayrollIncrementalSpend2[[#This Row],[Bonus]:[Other]]),"")</f>
        <v/>
      </c>
      <c r="O7" s="60" t="str">
        <f t="shared" si="0"/>
        <v/>
      </c>
      <c r="P7" s="60" t="str">
        <f t="shared" si="0"/>
        <v/>
      </c>
      <c r="Q7" s="60" t="str">
        <f t="shared" si="0"/>
        <v/>
      </c>
      <c r="R7" s="60" t="str">
        <f t="shared" si="0"/>
        <v/>
      </c>
      <c r="S7" s="60" t="str">
        <f t="shared" si="0"/>
        <v/>
      </c>
      <c r="T7" s="60" t="str">
        <f t="shared" si="0"/>
        <v/>
      </c>
      <c r="U7" s="60" t="str">
        <f t="shared" si="0"/>
        <v/>
      </c>
      <c r="V7" s="60" t="str">
        <f t="shared" si="0"/>
        <v/>
      </c>
      <c r="W7" s="60" t="str">
        <f t="shared" si="0"/>
        <v/>
      </c>
      <c r="X7" s="60" t="str">
        <f t="shared" si="0"/>
        <v/>
      </c>
      <c r="Y7" s="60" t="str">
        <f t="shared" si="0"/>
        <v/>
      </c>
      <c r="Z7" s="60" t="str">
        <f t="shared" si="0"/>
        <v/>
      </c>
      <c r="AA7" s="60" t="str">
        <f t="shared" si="1"/>
        <v/>
      </c>
      <c r="AB7" s="60" t="str">
        <f t="shared" si="2"/>
        <v/>
      </c>
      <c r="AC7" s="60" t="str">
        <f t="shared" si="2"/>
        <v/>
      </c>
      <c r="AD7" s="60" t="str">
        <f t="shared" si="2"/>
        <v/>
      </c>
      <c r="AE7" s="60" t="str">
        <f t="shared" si="2"/>
        <v/>
      </c>
      <c r="AF7" s="60" t="str">
        <f t="shared" si="2"/>
        <v/>
      </c>
      <c r="AG7" s="60" t="str">
        <f t="shared" si="2"/>
        <v/>
      </c>
      <c r="AH7" s="60" t="str">
        <f t="shared" si="2"/>
        <v/>
      </c>
      <c r="AI7" s="60" t="str">
        <f t="shared" si="2"/>
        <v/>
      </c>
      <c r="AJ7" s="60" t="str">
        <f t="shared" si="2"/>
        <v/>
      </c>
      <c r="AK7" s="60" t="str">
        <f t="shared" si="2"/>
        <v/>
      </c>
      <c r="AL7" s="60" t="str">
        <f t="shared" si="2"/>
        <v/>
      </c>
      <c r="AM7" s="60" t="str">
        <f t="shared" si="2"/>
        <v/>
      </c>
      <c r="AN7" s="60" t="str">
        <f t="shared" si="3"/>
        <v/>
      </c>
      <c r="AO7" s="60" t="str">
        <f t="shared" si="4"/>
        <v/>
      </c>
      <c r="AP7" s="60" t="str">
        <f t="shared" si="4"/>
        <v/>
      </c>
      <c r="AQ7" s="60" t="str">
        <f t="shared" si="4"/>
        <v/>
      </c>
      <c r="AR7" s="60" t="str">
        <f t="shared" si="4"/>
        <v/>
      </c>
      <c r="AS7" s="60" t="str">
        <f t="shared" si="4"/>
        <v/>
      </c>
      <c r="AT7" s="60" t="str">
        <f t="shared" si="4"/>
        <v/>
      </c>
      <c r="AU7" s="60" t="str">
        <f t="shared" si="4"/>
        <v/>
      </c>
      <c r="AV7" s="60" t="str">
        <f t="shared" si="4"/>
        <v/>
      </c>
      <c r="AW7" s="60" t="str">
        <f t="shared" si="4"/>
        <v/>
      </c>
      <c r="AX7" s="60" t="str">
        <f t="shared" si="4"/>
        <v/>
      </c>
      <c r="AY7" s="60" t="str">
        <f t="shared" si="4"/>
        <v/>
      </c>
      <c r="AZ7" s="60" t="str">
        <f t="shared" si="4"/>
        <v/>
      </c>
      <c r="BA7" s="60" t="str">
        <f t="shared" si="5"/>
        <v/>
      </c>
      <c r="BB7" s="43"/>
      <c r="BC7" s="38"/>
    </row>
    <row r="8" spans="1:55" x14ac:dyDescent="0.35">
      <c r="A8" s="41"/>
      <c r="B8" s="41"/>
      <c r="C8" s="41"/>
      <c r="D8" s="42"/>
      <c r="E8" s="43"/>
      <c r="F8" s="42"/>
      <c r="G8" s="43"/>
      <c r="H8" s="44"/>
      <c r="I8" s="60" t="str">
        <f>IF(OR(COUNTA(tblPayrollIncrementalSpend2[[#This Row],[Job Title]:[Hire Date]])&gt;0,AND(ROW()=ROW(G8),tblPayrollIncrementalSpend2[[#This Row],[Base Salary]]&lt;&gt;"")),N(tblPayrollIncrementalSpend2[[#This Row],[Base Salary]])*N(tblPayrollIncrementalSpend2[[#This Row],[Bonus %]]),"")</f>
        <v/>
      </c>
      <c r="J8" s="60" t="str">
        <f>IF(OR(COUNTA(tblPayrollIncrementalSpend2[[#This Row],[Job Title]:[Hire Date]])&gt;0,AND(ROW()=ROW(G8),tblPayrollIncrementalSpend2[[#This Row],[Base Salary]]&lt;&gt;"")),N(tblPayrollIncrementalSpend2[[#This Row],[Base Salary]])*'Base - Payroll'!$E$12,"")</f>
        <v/>
      </c>
      <c r="K8" s="60" t="str">
        <f>IF(OR(COUNTA(tblPayrollIncrementalSpend2[[#This Row],[Job Title]:[Hire Date]])&gt;0,AND(ROW()=ROW(G8),tblPayrollIncrementalSpend2[[#This Row],[Base Salary]]&lt;&gt;"")),N(tblPayrollIncrementalSpend2[[#This Row],[Base Salary]])*'Base - Payroll'!$E$13,"")</f>
        <v/>
      </c>
      <c r="L8" s="60" t="str">
        <f>IF(OR(COUNTA(tblPayrollIncrementalSpend2[[#This Row],[Job Title]:[Hire Date]])&gt;0,AND(ROW()=ROW(G8),tblPayrollIncrementalSpend2[[#This Row],[Base Salary]]&lt;&gt;"")),N(tblPayrollIncrementalSpend2[[#This Row],[Base Salary]])*'Base - Payroll'!$E$15,"")</f>
        <v/>
      </c>
      <c r="M8" s="60" t="str">
        <f>IF(OR(COUNTA(tblPayrollIncrementalSpend2[[#This Row],[Job Title]:[Hire Date]])&gt;0,AND(ROW()=ROW(G8),tblPayrollIncrementalSpend2[[#This Row],[Base Salary]]&lt;&gt;"")),N(tblPayrollIncrementalSpend2[[#This Row],[Base Salary]])*'Base - Payroll'!$E$16,"")</f>
        <v/>
      </c>
      <c r="N8" s="60" t="str">
        <f>IF(OR(COUNTA(tblPayrollIncrementalSpend2[[#This Row],[Job Title]:[Hire Date]])&gt;0,AND(ROW()=ROW(G8),tblPayrollIncrementalSpend2[[#This Row],[Base Salary]]&lt;&gt;"")),N(tblPayrollIncrementalSpend2[[#This Row],[Base Salary]])+SUM(tblPayrollIncrementalSpend2[[#This Row],[Bonus]:[Other]]),"")</f>
        <v/>
      </c>
      <c r="O8" s="60" t="str">
        <f t="shared" si="0"/>
        <v/>
      </c>
      <c r="P8" s="60" t="str">
        <f t="shared" si="0"/>
        <v/>
      </c>
      <c r="Q8" s="60" t="str">
        <f t="shared" si="0"/>
        <v/>
      </c>
      <c r="R8" s="60" t="str">
        <f t="shared" si="0"/>
        <v/>
      </c>
      <c r="S8" s="60" t="str">
        <f t="shared" si="0"/>
        <v/>
      </c>
      <c r="T8" s="60" t="str">
        <f t="shared" si="0"/>
        <v/>
      </c>
      <c r="U8" s="60" t="str">
        <f t="shared" si="0"/>
        <v/>
      </c>
      <c r="V8" s="60" t="str">
        <f t="shared" si="0"/>
        <v/>
      </c>
      <c r="W8" s="60" t="str">
        <f t="shared" si="0"/>
        <v/>
      </c>
      <c r="X8" s="60" t="str">
        <f t="shared" si="0"/>
        <v/>
      </c>
      <c r="Y8" s="60" t="str">
        <f t="shared" si="0"/>
        <v/>
      </c>
      <c r="Z8" s="60" t="str">
        <f t="shared" si="0"/>
        <v/>
      </c>
      <c r="AA8" s="60" t="str">
        <f t="shared" si="1"/>
        <v/>
      </c>
      <c r="AB8" s="60" t="str">
        <f t="shared" si="2"/>
        <v/>
      </c>
      <c r="AC8" s="60" t="str">
        <f t="shared" si="2"/>
        <v/>
      </c>
      <c r="AD8" s="60" t="str">
        <f t="shared" si="2"/>
        <v/>
      </c>
      <c r="AE8" s="60" t="str">
        <f t="shared" si="2"/>
        <v/>
      </c>
      <c r="AF8" s="60" t="str">
        <f t="shared" si="2"/>
        <v/>
      </c>
      <c r="AG8" s="60" t="str">
        <f t="shared" si="2"/>
        <v/>
      </c>
      <c r="AH8" s="60" t="str">
        <f t="shared" si="2"/>
        <v/>
      </c>
      <c r="AI8" s="60" t="str">
        <f t="shared" si="2"/>
        <v/>
      </c>
      <c r="AJ8" s="60" t="str">
        <f t="shared" si="2"/>
        <v/>
      </c>
      <c r="AK8" s="60" t="str">
        <f t="shared" si="2"/>
        <v/>
      </c>
      <c r="AL8" s="60" t="str">
        <f t="shared" si="2"/>
        <v/>
      </c>
      <c r="AM8" s="60" t="str">
        <f t="shared" si="2"/>
        <v/>
      </c>
      <c r="AN8" s="60" t="str">
        <f t="shared" si="3"/>
        <v/>
      </c>
      <c r="AO8" s="60" t="str">
        <f t="shared" si="4"/>
        <v/>
      </c>
      <c r="AP8" s="60" t="str">
        <f t="shared" si="4"/>
        <v/>
      </c>
      <c r="AQ8" s="60" t="str">
        <f t="shared" si="4"/>
        <v/>
      </c>
      <c r="AR8" s="60" t="str">
        <f t="shared" si="4"/>
        <v/>
      </c>
      <c r="AS8" s="60" t="str">
        <f t="shared" si="4"/>
        <v/>
      </c>
      <c r="AT8" s="60" t="str">
        <f t="shared" si="4"/>
        <v/>
      </c>
      <c r="AU8" s="60" t="str">
        <f t="shared" si="4"/>
        <v/>
      </c>
      <c r="AV8" s="60" t="str">
        <f t="shared" si="4"/>
        <v/>
      </c>
      <c r="AW8" s="60" t="str">
        <f t="shared" si="4"/>
        <v/>
      </c>
      <c r="AX8" s="60" t="str">
        <f t="shared" si="4"/>
        <v/>
      </c>
      <c r="AY8" s="60" t="str">
        <f t="shared" si="4"/>
        <v/>
      </c>
      <c r="AZ8" s="60" t="str">
        <f t="shared" si="4"/>
        <v/>
      </c>
      <c r="BA8" s="60" t="str">
        <f t="shared" si="5"/>
        <v/>
      </c>
      <c r="BB8" s="43"/>
      <c r="BC8" s="38"/>
    </row>
    <row r="9" spans="1:55" x14ac:dyDescent="0.35">
      <c r="A9" s="41"/>
      <c r="B9" s="41"/>
      <c r="C9" s="41"/>
      <c r="D9" s="42"/>
      <c r="E9" s="43"/>
      <c r="F9" s="42"/>
      <c r="G9" s="43"/>
      <c r="H9" s="44"/>
      <c r="I9" s="60" t="str">
        <f>IF(OR(COUNTA(tblPayrollIncrementalSpend2[[#This Row],[Job Title]:[Hire Date]])&gt;0,AND(ROW()=ROW(G9),tblPayrollIncrementalSpend2[[#This Row],[Base Salary]]&lt;&gt;"")),N(tblPayrollIncrementalSpend2[[#This Row],[Base Salary]])*N(tblPayrollIncrementalSpend2[[#This Row],[Bonus %]]),"")</f>
        <v/>
      </c>
      <c r="J9" s="60" t="str">
        <f>IF(OR(COUNTA(tblPayrollIncrementalSpend2[[#This Row],[Job Title]:[Hire Date]])&gt;0,AND(ROW()=ROW(G9),tblPayrollIncrementalSpend2[[#This Row],[Base Salary]]&lt;&gt;"")),N(tblPayrollIncrementalSpend2[[#This Row],[Base Salary]])*'Base - Payroll'!$E$12,"")</f>
        <v/>
      </c>
      <c r="K9" s="60" t="str">
        <f>IF(OR(COUNTA(tblPayrollIncrementalSpend2[[#This Row],[Job Title]:[Hire Date]])&gt;0,AND(ROW()=ROW(G9),tblPayrollIncrementalSpend2[[#This Row],[Base Salary]]&lt;&gt;"")),N(tblPayrollIncrementalSpend2[[#This Row],[Base Salary]])*'Base - Payroll'!$E$13,"")</f>
        <v/>
      </c>
      <c r="L9" s="60" t="str">
        <f>IF(OR(COUNTA(tblPayrollIncrementalSpend2[[#This Row],[Job Title]:[Hire Date]])&gt;0,AND(ROW()=ROW(G9),tblPayrollIncrementalSpend2[[#This Row],[Base Salary]]&lt;&gt;"")),N(tblPayrollIncrementalSpend2[[#This Row],[Base Salary]])*'Base - Payroll'!$E$15,"")</f>
        <v/>
      </c>
      <c r="M9" s="60" t="str">
        <f>IF(OR(COUNTA(tblPayrollIncrementalSpend2[[#This Row],[Job Title]:[Hire Date]])&gt;0,AND(ROW()=ROW(G9),tblPayrollIncrementalSpend2[[#This Row],[Base Salary]]&lt;&gt;"")),N(tblPayrollIncrementalSpend2[[#This Row],[Base Salary]])*'Base - Payroll'!$E$16,"")</f>
        <v/>
      </c>
      <c r="N9" s="60" t="str">
        <f>IF(OR(COUNTA(tblPayrollIncrementalSpend2[[#This Row],[Job Title]:[Hire Date]])&gt;0,AND(ROW()=ROW(G9),tblPayrollIncrementalSpend2[[#This Row],[Base Salary]]&lt;&gt;"")),N(tblPayrollIncrementalSpend2[[#This Row],[Base Salary]])+SUM(tblPayrollIncrementalSpend2[[#This Row],[Bonus]:[Other]]),"")</f>
        <v/>
      </c>
      <c r="O9" s="60" t="str">
        <f t="shared" si="0"/>
        <v/>
      </c>
      <c r="P9" s="60" t="str">
        <f t="shared" si="0"/>
        <v/>
      </c>
      <c r="Q9" s="60" t="str">
        <f t="shared" si="0"/>
        <v/>
      </c>
      <c r="R9" s="60" t="str">
        <f t="shared" si="0"/>
        <v/>
      </c>
      <c r="S9" s="60" t="str">
        <f t="shared" si="0"/>
        <v/>
      </c>
      <c r="T9" s="60" t="str">
        <f t="shared" si="0"/>
        <v/>
      </c>
      <c r="U9" s="60" t="str">
        <f t="shared" si="0"/>
        <v/>
      </c>
      <c r="V9" s="60" t="str">
        <f t="shared" si="0"/>
        <v/>
      </c>
      <c r="W9" s="60" t="str">
        <f t="shared" si="0"/>
        <v/>
      </c>
      <c r="X9" s="60" t="str">
        <f t="shared" si="0"/>
        <v/>
      </c>
      <c r="Y9" s="60" t="str">
        <f t="shared" si="0"/>
        <v/>
      </c>
      <c r="Z9" s="60" t="str">
        <f t="shared" si="0"/>
        <v/>
      </c>
      <c r="AA9" s="60" t="str">
        <f t="shared" si="1"/>
        <v/>
      </c>
      <c r="AB9" s="60" t="str">
        <f t="shared" si="2"/>
        <v/>
      </c>
      <c r="AC9" s="60" t="str">
        <f t="shared" si="2"/>
        <v/>
      </c>
      <c r="AD9" s="60" t="str">
        <f t="shared" si="2"/>
        <v/>
      </c>
      <c r="AE9" s="60" t="str">
        <f t="shared" si="2"/>
        <v/>
      </c>
      <c r="AF9" s="60" t="str">
        <f t="shared" si="2"/>
        <v/>
      </c>
      <c r="AG9" s="60" t="str">
        <f t="shared" si="2"/>
        <v/>
      </c>
      <c r="AH9" s="60" t="str">
        <f t="shared" si="2"/>
        <v/>
      </c>
      <c r="AI9" s="60" t="str">
        <f t="shared" si="2"/>
        <v/>
      </c>
      <c r="AJ9" s="60" t="str">
        <f t="shared" si="2"/>
        <v/>
      </c>
      <c r="AK9" s="60" t="str">
        <f t="shared" si="2"/>
        <v/>
      </c>
      <c r="AL9" s="60" t="str">
        <f t="shared" si="2"/>
        <v/>
      </c>
      <c r="AM9" s="60" t="str">
        <f t="shared" si="2"/>
        <v/>
      </c>
      <c r="AN9" s="60" t="str">
        <f t="shared" si="3"/>
        <v/>
      </c>
      <c r="AO9" s="60" t="str">
        <f t="shared" si="4"/>
        <v/>
      </c>
      <c r="AP9" s="60" t="str">
        <f t="shared" si="4"/>
        <v/>
      </c>
      <c r="AQ9" s="60" t="str">
        <f t="shared" si="4"/>
        <v/>
      </c>
      <c r="AR9" s="60" t="str">
        <f t="shared" si="4"/>
        <v/>
      </c>
      <c r="AS9" s="60" t="str">
        <f t="shared" si="4"/>
        <v/>
      </c>
      <c r="AT9" s="60" t="str">
        <f t="shared" si="4"/>
        <v/>
      </c>
      <c r="AU9" s="60" t="str">
        <f t="shared" si="4"/>
        <v/>
      </c>
      <c r="AV9" s="60" t="str">
        <f t="shared" si="4"/>
        <v/>
      </c>
      <c r="AW9" s="60" t="str">
        <f t="shared" si="4"/>
        <v/>
      </c>
      <c r="AX9" s="60" t="str">
        <f t="shared" si="4"/>
        <v/>
      </c>
      <c r="AY9" s="60" t="str">
        <f t="shared" si="4"/>
        <v/>
      </c>
      <c r="AZ9" s="60" t="str">
        <f t="shared" si="4"/>
        <v/>
      </c>
      <c r="BA9" s="60" t="str">
        <f t="shared" si="5"/>
        <v/>
      </c>
      <c r="BB9" s="43"/>
      <c r="BC9" s="38"/>
    </row>
    <row r="10" spans="1:55" x14ac:dyDescent="0.35">
      <c r="A10" s="41"/>
      <c r="B10" s="41"/>
      <c r="C10" s="41"/>
      <c r="D10" s="42"/>
      <c r="E10" s="43"/>
      <c r="F10" s="42"/>
      <c r="G10" s="43"/>
      <c r="H10" s="44"/>
      <c r="I10" s="60" t="str">
        <f>IF(OR(COUNTA(tblPayrollIncrementalSpend2[[#This Row],[Job Title]:[Hire Date]])&gt;0,AND(ROW()=ROW(G10),tblPayrollIncrementalSpend2[[#This Row],[Base Salary]]&lt;&gt;"")),N(tblPayrollIncrementalSpend2[[#This Row],[Base Salary]])*N(tblPayrollIncrementalSpend2[[#This Row],[Bonus %]]),"")</f>
        <v/>
      </c>
      <c r="J10" s="60" t="str">
        <f>IF(OR(COUNTA(tblPayrollIncrementalSpend2[[#This Row],[Job Title]:[Hire Date]])&gt;0,AND(ROW()=ROW(G10),tblPayrollIncrementalSpend2[[#This Row],[Base Salary]]&lt;&gt;"")),N(tblPayrollIncrementalSpend2[[#This Row],[Base Salary]])*'Base - Payroll'!$E$12,"")</f>
        <v/>
      </c>
      <c r="K10" s="60" t="str">
        <f>IF(OR(COUNTA(tblPayrollIncrementalSpend2[[#This Row],[Job Title]:[Hire Date]])&gt;0,AND(ROW()=ROW(G10),tblPayrollIncrementalSpend2[[#This Row],[Base Salary]]&lt;&gt;"")),N(tblPayrollIncrementalSpend2[[#This Row],[Base Salary]])*'Base - Payroll'!$E$13,"")</f>
        <v/>
      </c>
      <c r="L10" s="60" t="str">
        <f>IF(OR(COUNTA(tblPayrollIncrementalSpend2[[#This Row],[Job Title]:[Hire Date]])&gt;0,AND(ROW()=ROW(G10),tblPayrollIncrementalSpend2[[#This Row],[Base Salary]]&lt;&gt;"")),N(tblPayrollIncrementalSpend2[[#This Row],[Base Salary]])*'Base - Payroll'!$E$15,"")</f>
        <v/>
      </c>
      <c r="M10" s="60" t="str">
        <f>IF(OR(COUNTA(tblPayrollIncrementalSpend2[[#This Row],[Job Title]:[Hire Date]])&gt;0,AND(ROW()=ROW(G10),tblPayrollIncrementalSpend2[[#This Row],[Base Salary]]&lt;&gt;"")),N(tblPayrollIncrementalSpend2[[#This Row],[Base Salary]])*'Base - Payroll'!$E$16,"")</f>
        <v/>
      </c>
      <c r="N10" s="60" t="str">
        <f>IF(OR(COUNTA(tblPayrollIncrementalSpend2[[#This Row],[Job Title]:[Hire Date]])&gt;0,AND(ROW()=ROW(G10),tblPayrollIncrementalSpend2[[#This Row],[Base Salary]]&lt;&gt;"")),N(tblPayrollIncrementalSpend2[[#This Row],[Base Salary]])+SUM(tblPayrollIncrementalSpend2[[#This Row],[Bonus]:[Other]]),"")</f>
        <v/>
      </c>
      <c r="O10" s="60" t="str">
        <f t="shared" si="0"/>
        <v/>
      </c>
      <c r="P10" s="60" t="str">
        <f t="shared" si="0"/>
        <v/>
      </c>
      <c r="Q10" s="60" t="str">
        <f t="shared" si="0"/>
        <v/>
      </c>
      <c r="R10" s="60" t="str">
        <f t="shared" si="0"/>
        <v/>
      </c>
      <c r="S10" s="60" t="str">
        <f t="shared" si="0"/>
        <v/>
      </c>
      <c r="T10" s="60" t="str">
        <f t="shared" si="0"/>
        <v/>
      </c>
      <c r="U10" s="60" t="str">
        <f t="shared" si="0"/>
        <v/>
      </c>
      <c r="V10" s="60" t="str">
        <f t="shared" si="0"/>
        <v/>
      </c>
      <c r="W10" s="60" t="str">
        <f t="shared" si="0"/>
        <v/>
      </c>
      <c r="X10" s="60" t="str">
        <f t="shared" si="0"/>
        <v/>
      </c>
      <c r="Y10" s="60" t="str">
        <f t="shared" si="0"/>
        <v/>
      </c>
      <c r="Z10" s="60" t="str">
        <f t="shared" si="0"/>
        <v/>
      </c>
      <c r="AA10" s="60" t="str">
        <f t="shared" si="1"/>
        <v/>
      </c>
      <c r="AB10" s="60" t="str">
        <f t="shared" si="2"/>
        <v/>
      </c>
      <c r="AC10" s="60" t="str">
        <f t="shared" si="2"/>
        <v/>
      </c>
      <c r="AD10" s="60" t="str">
        <f t="shared" si="2"/>
        <v/>
      </c>
      <c r="AE10" s="60" t="str">
        <f t="shared" si="2"/>
        <v/>
      </c>
      <c r="AF10" s="60" t="str">
        <f t="shared" si="2"/>
        <v/>
      </c>
      <c r="AG10" s="60" t="str">
        <f t="shared" si="2"/>
        <v/>
      </c>
      <c r="AH10" s="60" t="str">
        <f t="shared" si="2"/>
        <v/>
      </c>
      <c r="AI10" s="60" t="str">
        <f t="shared" si="2"/>
        <v/>
      </c>
      <c r="AJ10" s="60" t="str">
        <f t="shared" si="2"/>
        <v/>
      </c>
      <c r="AK10" s="60" t="str">
        <f t="shared" si="2"/>
        <v/>
      </c>
      <c r="AL10" s="60" t="str">
        <f t="shared" si="2"/>
        <v/>
      </c>
      <c r="AM10" s="60" t="str">
        <f t="shared" si="2"/>
        <v/>
      </c>
      <c r="AN10" s="60" t="str">
        <f t="shared" si="3"/>
        <v/>
      </c>
      <c r="AO10" s="60" t="str">
        <f t="shared" si="4"/>
        <v/>
      </c>
      <c r="AP10" s="60" t="str">
        <f t="shared" si="4"/>
        <v/>
      </c>
      <c r="AQ10" s="60" t="str">
        <f t="shared" si="4"/>
        <v/>
      </c>
      <c r="AR10" s="60" t="str">
        <f t="shared" si="4"/>
        <v/>
      </c>
      <c r="AS10" s="60" t="str">
        <f t="shared" si="4"/>
        <v/>
      </c>
      <c r="AT10" s="60" t="str">
        <f t="shared" si="4"/>
        <v/>
      </c>
      <c r="AU10" s="60" t="str">
        <f t="shared" si="4"/>
        <v/>
      </c>
      <c r="AV10" s="60" t="str">
        <f t="shared" si="4"/>
        <v/>
      </c>
      <c r="AW10" s="60" t="str">
        <f t="shared" si="4"/>
        <v/>
      </c>
      <c r="AX10" s="60" t="str">
        <f t="shared" si="4"/>
        <v/>
      </c>
      <c r="AY10" s="60" t="str">
        <f t="shared" si="4"/>
        <v/>
      </c>
      <c r="AZ10" s="60" t="str">
        <f t="shared" si="4"/>
        <v/>
      </c>
      <c r="BA10" s="60" t="str">
        <f t="shared" si="5"/>
        <v/>
      </c>
      <c r="BB10" s="43"/>
      <c r="BC10" s="38"/>
    </row>
    <row r="11" spans="1:55" x14ac:dyDescent="0.35">
      <c r="A11" s="41"/>
      <c r="B11" s="41"/>
      <c r="C11" s="41"/>
      <c r="D11" s="42"/>
      <c r="E11" s="43"/>
      <c r="F11" s="42"/>
      <c r="G11" s="43"/>
      <c r="H11" s="44"/>
      <c r="I11" s="60" t="str">
        <f>IF(OR(COUNTA(tblPayrollIncrementalSpend2[[#This Row],[Job Title]:[Hire Date]])&gt;0,AND(ROW()=ROW(G11),tblPayrollIncrementalSpend2[[#This Row],[Base Salary]]&lt;&gt;"")),N(tblPayrollIncrementalSpend2[[#This Row],[Base Salary]])*N(tblPayrollIncrementalSpend2[[#This Row],[Bonus %]]),"")</f>
        <v/>
      </c>
      <c r="J11" s="60" t="str">
        <f>IF(OR(COUNTA(tblPayrollIncrementalSpend2[[#This Row],[Job Title]:[Hire Date]])&gt;0,AND(ROW()=ROW(G11),tblPayrollIncrementalSpend2[[#This Row],[Base Salary]]&lt;&gt;"")),N(tblPayrollIncrementalSpend2[[#This Row],[Base Salary]])*'Base - Payroll'!$E$12,"")</f>
        <v/>
      </c>
      <c r="K11" s="60" t="str">
        <f>IF(OR(COUNTA(tblPayrollIncrementalSpend2[[#This Row],[Job Title]:[Hire Date]])&gt;0,AND(ROW()=ROW(G11),tblPayrollIncrementalSpend2[[#This Row],[Base Salary]]&lt;&gt;"")),N(tblPayrollIncrementalSpend2[[#This Row],[Base Salary]])*'Base - Payroll'!$E$13,"")</f>
        <v/>
      </c>
      <c r="L11" s="60" t="str">
        <f>IF(OR(COUNTA(tblPayrollIncrementalSpend2[[#This Row],[Job Title]:[Hire Date]])&gt;0,AND(ROW()=ROW(G11),tblPayrollIncrementalSpend2[[#This Row],[Base Salary]]&lt;&gt;"")),N(tblPayrollIncrementalSpend2[[#This Row],[Base Salary]])*'Base - Payroll'!$E$15,"")</f>
        <v/>
      </c>
      <c r="M11" s="60" t="str">
        <f>IF(OR(COUNTA(tblPayrollIncrementalSpend2[[#This Row],[Job Title]:[Hire Date]])&gt;0,AND(ROW()=ROW(G11),tblPayrollIncrementalSpend2[[#This Row],[Base Salary]]&lt;&gt;"")),N(tblPayrollIncrementalSpend2[[#This Row],[Base Salary]])*'Base - Payroll'!$E$16,"")</f>
        <v/>
      </c>
      <c r="N11" s="60" t="str">
        <f>IF(OR(COUNTA(tblPayrollIncrementalSpend2[[#This Row],[Job Title]:[Hire Date]])&gt;0,AND(ROW()=ROW(G11),tblPayrollIncrementalSpend2[[#This Row],[Base Salary]]&lt;&gt;"")),N(tblPayrollIncrementalSpend2[[#This Row],[Base Salary]])+SUM(tblPayrollIncrementalSpend2[[#This Row],[Bonus]:[Other]]),"")</f>
        <v/>
      </c>
      <c r="O11" s="60" t="str">
        <f t="shared" si="0"/>
        <v/>
      </c>
      <c r="P11" s="60" t="str">
        <f t="shared" si="0"/>
        <v/>
      </c>
      <c r="Q11" s="60" t="str">
        <f t="shared" si="0"/>
        <v/>
      </c>
      <c r="R11" s="60" t="str">
        <f t="shared" si="0"/>
        <v/>
      </c>
      <c r="S11" s="60" t="str">
        <f t="shared" si="0"/>
        <v/>
      </c>
      <c r="T11" s="60" t="str">
        <f t="shared" si="0"/>
        <v/>
      </c>
      <c r="U11" s="60" t="str">
        <f t="shared" si="0"/>
        <v/>
      </c>
      <c r="V11" s="60" t="str">
        <f t="shared" si="0"/>
        <v/>
      </c>
      <c r="W11" s="60" t="str">
        <f t="shared" si="0"/>
        <v/>
      </c>
      <c r="X11" s="60" t="str">
        <f t="shared" si="0"/>
        <v/>
      </c>
      <c r="Y11" s="60" t="str">
        <f t="shared" si="0"/>
        <v/>
      </c>
      <c r="Z11" s="60" t="str">
        <f t="shared" si="0"/>
        <v/>
      </c>
      <c r="AA11" s="60" t="str">
        <f t="shared" si="1"/>
        <v/>
      </c>
      <c r="AB11" s="60" t="str">
        <f t="shared" si="2"/>
        <v/>
      </c>
      <c r="AC11" s="60" t="str">
        <f t="shared" si="2"/>
        <v/>
      </c>
      <c r="AD11" s="60" t="str">
        <f t="shared" si="2"/>
        <v/>
      </c>
      <c r="AE11" s="60" t="str">
        <f t="shared" si="2"/>
        <v/>
      </c>
      <c r="AF11" s="60" t="str">
        <f t="shared" si="2"/>
        <v/>
      </c>
      <c r="AG11" s="60" t="str">
        <f t="shared" si="2"/>
        <v/>
      </c>
      <c r="AH11" s="60" t="str">
        <f t="shared" si="2"/>
        <v/>
      </c>
      <c r="AI11" s="60" t="str">
        <f t="shared" si="2"/>
        <v/>
      </c>
      <c r="AJ11" s="60" t="str">
        <f t="shared" si="2"/>
        <v/>
      </c>
      <c r="AK11" s="60" t="str">
        <f t="shared" si="2"/>
        <v/>
      </c>
      <c r="AL11" s="60" t="str">
        <f t="shared" si="2"/>
        <v/>
      </c>
      <c r="AM11" s="60" t="str">
        <f t="shared" si="2"/>
        <v/>
      </c>
      <c r="AN11" s="60" t="str">
        <f t="shared" si="3"/>
        <v/>
      </c>
      <c r="AO11" s="60" t="str">
        <f t="shared" si="4"/>
        <v/>
      </c>
      <c r="AP11" s="60" t="str">
        <f t="shared" si="4"/>
        <v/>
      </c>
      <c r="AQ11" s="60" t="str">
        <f t="shared" si="4"/>
        <v/>
      </c>
      <c r="AR11" s="60" t="str">
        <f t="shared" si="4"/>
        <v/>
      </c>
      <c r="AS11" s="60" t="str">
        <f t="shared" si="4"/>
        <v/>
      </c>
      <c r="AT11" s="60" t="str">
        <f t="shared" si="4"/>
        <v/>
      </c>
      <c r="AU11" s="60" t="str">
        <f t="shared" si="4"/>
        <v/>
      </c>
      <c r="AV11" s="60" t="str">
        <f t="shared" si="4"/>
        <v/>
      </c>
      <c r="AW11" s="60" t="str">
        <f t="shared" si="4"/>
        <v/>
      </c>
      <c r="AX11" s="60" t="str">
        <f t="shared" si="4"/>
        <v/>
      </c>
      <c r="AY11" s="60" t="str">
        <f t="shared" si="4"/>
        <v/>
      </c>
      <c r="AZ11" s="60" t="str">
        <f t="shared" si="4"/>
        <v/>
      </c>
      <c r="BA11" s="60" t="str">
        <f t="shared" si="5"/>
        <v/>
      </c>
      <c r="BB11" s="43"/>
      <c r="BC11" s="38"/>
    </row>
    <row r="12" spans="1:55" x14ac:dyDescent="0.35">
      <c r="A12" s="41"/>
      <c r="B12" s="41"/>
      <c r="C12" s="41"/>
      <c r="D12" s="42"/>
      <c r="E12" s="43"/>
      <c r="F12" s="42"/>
      <c r="G12" s="43"/>
      <c r="H12" s="44"/>
      <c r="I12" s="60" t="str">
        <f>IF(OR(COUNTA(tblPayrollIncrementalSpend2[[#This Row],[Job Title]:[Hire Date]])&gt;0,AND(ROW()=ROW(G12),tblPayrollIncrementalSpend2[[#This Row],[Base Salary]]&lt;&gt;"")),N(tblPayrollIncrementalSpend2[[#This Row],[Base Salary]])*N(tblPayrollIncrementalSpend2[[#This Row],[Bonus %]]),"")</f>
        <v/>
      </c>
      <c r="J12" s="60" t="str">
        <f>IF(OR(COUNTA(tblPayrollIncrementalSpend2[[#This Row],[Job Title]:[Hire Date]])&gt;0,AND(ROW()=ROW(G12),tblPayrollIncrementalSpend2[[#This Row],[Base Salary]]&lt;&gt;"")),N(tblPayrollIncrementalSpend2[[#This Row],[Base Salary]])*'Base - Payroll'!$E$12,"")</f>
        <v/>
      </c>
      <c r="K12" s="60" t="str">
        <f>IF(OR(COUNTA(tblPayrollIncrementalSpend2[[#This Row],[Job Title]:[Hire Date]])&gt;0,AND(ROW()=ROW(G12),tblPayrollIncrementalSpend2[[#This Row],[Base Salary]]&lt;&gt;"")),N(tblPayrollIncrementalSpend2[[#This Row],[Base Salary]])*'Base - Payroll'!$E$13,"")</f>
        <v/>
      </c>
      <c r="L12" s="60" t="str">
        <f>IF(OR(COUNTA(tblPayrollIncrementalSpend2[[#This Row],[Job Title]:[Hire Date]])&gt;0,AND(ROW()=ROW(G12),tblPayrollIncrementalSpend2[[#This Row],[Base Salary]]&lt;&gt;"")),N(tblPayrollIncrementalSpend2[[#This Row],[Base Salary]])*'Base - Payroll'!$E$15,"")</f>
        <v/>
      </c>
      <c r="M12" s="60" t="str">
        <f>IF(OR(COUNTA(tblPayrollIncrementalSpend2[[#This Row],[Job Title]:[Hire Date]])&gt;0,AND(ROW()=ROW(G12),tblPayrollIncrementalSpend2[[#This Row],[Base Salary]]&lt;&gt;"")),N(tblPayrollIncrementalSpend2[[#This Row],[Base Salary]])*'Base - Payroll'!$E$16,"")</f>
        <v/>
      </c>
      <c r="N12" s="60" t="str">
        <f>IF(OR(COUNTA(tblPayrollIncrementalSpend2[[#This Row],[Job Title]:[Hire Date]])&gt;0,AND(ROW()=ROW(G12),tblPayrollIncrementalSpend2[[#This Row],[Base Salary]]&lt;&gt;"")),N(tblPayrollIncrementalSpend2[[#This Row],[Base Salary]])+SUM(tblPayrollIncrementalSpend2[[#This Row],[Bonus]:[Other]]),"")</f>
        <v/>
      </c>
      <c r="O12" s="60" t="str">
        <f t="shared" si="0"/>
        <v/>
      </c>
      <c r="P12" s="60" t="str">
        <f t="shared" si="0"/>
        <v/>
      </c>
      <c r="Q12" s="60" t="str">
        <f t="shared" si="0"/>
        <v/>
      </c>
      <c r="R12" s="60" t="str">
        <f t="shared" si="0"/>
        <v/>
      </c>
      <c r="S12" s="60" t="str">
        <f t="shared" si="0"/>
        <v/>
      </c>
      <c r="T12" s="60" t="str">
        <f t="shared" si="0"/>
        <v/>
      </c>
      <c r="U12" s="60" t="str">
        <f t="shared" si="0"/>
        <v/>
      </c>
      <c r="V12" s="60" t="str">
        <f t="shared" si="0"/>
        <v/>
      </c>
      <c r="W12" s="60" t="str">
        <f t="shared" si="0"/>
        <v/>
      </c>
      <c r="X12" s="60" t="str">
        <f t="shared" si="0"/>
        <v/>
      </c>
      <c r="Y12" s="60" t="str">
        <f t="shared" si="0"/>
        <v/>
      </c>
      <c r="Z12" s="60" t="str">
        <f t="shared" si="0"/>
        <v/>
      </c>
      <c r="AA12" s="60" t="str">
        <f t="shared" si="1"/>
        <v/>
      </c>
      <c r="AB12" s="60" t="str">
        <f t="shared" si="2"/>
        <v/>
      </c>
      <c r="AC12" s="60" t="str">
        <f t="shared" si="2"/>
        <v/>
      </c>
      <c r="AD12" s="60" t="str">
        <f t="shared" si="2"/>
        <v/>
      </c>
      <c r="AE12" s="60" t="str">
        <f t="shared" si="2"/>
        <v/>
      </c>
      <c r="AF12" s="60" t="str">
        <f t="shared" si="2"/>
        <v/>
      </c>
      <c r="AG12" s="60" t="str">
        <f t="shared" si="2"/>
        <v/>
      </c>
      <c r="AH12" s="60" t="str">
        <f t="shared" si="2"/>
        <v/>
      </c>
      <c r="AI12" s="60" t="str">
        <f t="shared" si="2"/>
        <v/>
      </c>
      <c r="AJ12" s="60" t="str">
        <f t="shared" si="2"/>
        <v/>
      </c>
      <c r="AK12" s="60" t="str">
        <f t="shared" si="2"/>
        <v/>
      </c>
      <c r="AL12" s="60" t="str">
        <f t="shared" si="2"/>
        <v/>
      </c>
      <c r="AM12" s="60" t="str">
        <f t="shared" si="2"/>
        <v/>
      </c>
      <c r="AN12" s="60" t="str">
        <f t="shared" si="3"/>
        <v/>
      </c>
      <c r="AO12" s="60" t="str">
        <f t="shared" si="4"/>
        <v/>
      </c>
      <c r="AP12" s="60" t="str">
        <f t="shared" si="4"/>
        <v/>
      </c>
      <c r="AQ12" s="60" t="str">
        <f t="shared" si="4"/>
        <v/>
      </c>
      <c r="AR12" s="60" t="str">
        <f t="shared" si="4"/>
        <v/>
      </c>
      <c r="AS12" s="60" t="str">
        <f t="shared" si="4"/>
        <v/>
      </c>
      <c r="AT12" s="60" t="str">
        <f t="shared" si="4"/>
        <v/>
      </c>
      <c r="AU12" s="60" t="str">
        <f t="shared" si="4"/>
        <v/>
      </c>
      <c r="AV12" s="60" t="str">
        <f t="shared" si="4"/>
        <v/>
      </c>
      <c r="AW12" s="60" t="str">
        <f t="shared" si="4"/>
        <v/>
      </c>
      <c r="AX12" s="60" t="str">
        <f t="shared" si="4"/>
        <v/>
      </c>
      <c r="AY12" s="60" t="str">
        <f t="shared" si="4"/>
        <v/>
      </c>
      <c r="AZ12" s="60" t="str">
        <f t="shared" si="4"/>
        <v/>
      </c>
      <c r="BA12" s="60" t="str">
        <f t="shared" si="5"/>
        <v/>
      </c>
      <c r="BB12" s="43"/>
      <c r="BC12" s="38"/>
    </row>
    <row r="13" spans="1:55" x14ac:dyDescent="0.35">
      <c r="A13" s="41"/>
      <c r="B13" s="41"/>
      <c r="C13" s="41"/>
      <c r="D13" s="42"/>
      <c r="E13" s="43"/>
      <c r="F13" s="42"/>
      <c r="G13" s="43"/>
      <c r="H13" s="44"/>
      <c r="I13" s="60" t="str">
        <f>IF(OR(COUNTA(tblPayrollIncrementalSpend2[[#This Row],[Job Title]:[Hire Date]])&gt;0,AND(ROW()=ROW(G13),tblPayrollIncrementalSpend2[[#This Row],[Base Salary]]&lt;&gt;"")),N(tblPayrollIncrementalSpend2[[#This Row],[Base Salary]])*N(tblPayrollIncrementalSpend2[[#This Row],[Bonus %]]),"")</f>
        <v/>
      </c>
      <c r="J13" s="60" t="str">
        <f>IF(OR(COUNTA(tblPayrollIncrementalSpend2[[#This Row],[Job Title]:[Hire Date]])&gt;0,AND(ROW()=ROW(G13),tblPayrollIncrementalSpend2[[#This Row],[Base Salary]]&lt;&gt;"")),N(tblPayrollIncrementalSpend2[[#This Row],[Base Salary]])*'Base - Payroll'!$E$12,"")</f>
        <v/>
      </c>
      <c r="K13" s="60" t="str">
        <f>IF(OR(COUNTA(tblPayrollIncrementalSpend2[[#This Row],[Job Title]:[Hire Date]])&gt;0,AND(ROW()=ROW(G13),tblPayrollIncrementalSpend2[[#This Row],[Base Salary]]&lt;&gt;"")),N(tblPayrollIncrementalSpend2[[#This Row],[Base Salary]])*'Base - Payroll'!$E$13,"")</f>
        <v/>
      </c>
      <c r="L13" s="60" t="str">
        <f>IF(OR(COUNTA(tblPayrollIncrementalSpend2[[#This Row],[Job Title]:[Hire Date]])&gt;0,AND(ROW()=ROW(G13),tblPayrollIncrementalSpend2[[#This Row],[Base Salary]]&lt;&gt;"")),N(tblPayrollIncrementalSpend2[[#This Row],[Base Salary]])*'Base - Payroll'!$E$15,"")</f>
        <v/>
      </c>
      <c r="M13" s="60" t="str">
        <f>IF(OR(COUNTA(tblPayrollIncrementalSpend2[[#This Row],[Job Title]:[Hire Date]])&gt;0,AND(ROW()=ROW(G13),tblPayrollIncrementalSpend2[[#This Row],[Base Salary]]&lt;&gt;"")),N(tblPayrollIncrementalSpend2[[#This Row],[Base Salary]])*'Base - Payroll'!$E$16,"")</f>
        <v/>
      </c>
      <c r="N13" s="60" t="str">
        <f>IF(OR(COUNTA(tblPayrollIncrementalSpend2[[#This Row],[Job Title]:[Hire Date]])&gt;0,AND(ROW()=ROW(G13),tblPayrollIncrementalSpend2[[#This Row],[Base Salary]]&lt;&gt;"")),N(tblPayrollIncrementalSpend2[[#This Row],[Base Salary]])+SUM(tblPayrollIncrementalSpend2[[#This Row],[Bonus]:[Other]]),"")</f>
        <v/>
      </c>
      <c r="O13" s="60" t="str">
        <f t="shared" si="0"/>
        <v/>
      </c>
      <c r="P13" s="60" t="str">
        <f t="shared" si="0"/>
        <v/>
      </c>
      <c r="Q13" s="60" t="str">
        <f t="shared" si="0"/>
        <v/>
      </c>
      <c r="R13" s="60" t="str">
        <f t="shared" si="0"/>
        <v/>
      </c>
      <c r="S13" s="60" t="str">
        <f t="shared" si="0"/>
        <v/>
      </c>
      <c r="T13" s="60" t="str">
        <f t="shared" si="0"/>
        <v/>
      </c>
      <c r="U13" s="60" t="str">
        <f t="shared" si="0"/>
        <v/>
      </c>
      <c r="V13" s="60" t="str">
        <f t="shared" si="0"/>
        <v/>
      </c>
      <c r="W13" s="60" t="str">
        <f t="shared" si="0"/>
        <v/>
      </c>
      <c r="X13" s="60" t="str">
        <f t="shared" si="0"/>
        <v/>
      </c>
      <c r="Y13" s="60" t="str">
        <f t="shared" si="0"/>
        <v/>
      </c>
      <c r="Z13" s="60" t="str">
        <f t="shared" si="0"/>
        <v/>
      </c>
      <c r="AA13" s="60" t="str">
        <f t="shared" si="1"/>
        <v/>
      </c>
      <c r="AB13" s="60" t="str">
        <f t="shared" si="2"/>
        <v/>
      </c>
      <c r="AC13" s="60" t="str">
        <f t="shared" si="2"/>
        <v/>
      </c>
      <c r="AD13" s="60" t="str">
        <f t="shared" si="2"/>
        <v/>
      </c>
      <c r="AE13" s="60" t="str">
        <f t="shared" si="2"/>
        <v/>
      </c>
      <c r="AF13" s="60" t="str">
        <f t="shared" si="2"/>
        <v/>
      </c>
      <c r="AG13" s="60" t="str">
        <f t="shared" si="2"/>
        <v/>
      </c>
      <c r="AH13" s="60" t="str">
        <f t="shared" si="2"/>
        <v/>
      </c>
      <c r="AI13" s="60" t="str">
        <f t="shared" si="2"/>
        <v/>
      </c>
      <c r="AJ13" s="60" t="str">
        <f t="shared" si="2"/>
        <v/>
      </c>
      <c r="AK13" s="60" t="str">
        <f t="shared" si="2"/>
        <v/>
      </c>
      <c r="AL13" s="60" t="str">
        <f t="shared" si="2"/>
        <v/>
      </c>
      <c r="AM13" s="60" t="str">
        <f t="shared" si="2"/>
        <v/>
      </c>
      <c r="AN13" s="60" t="str">
        <f t="shared" si="3"/>
        <v/>
      </c>
      <c r="AO13" s="60" t="str">
        <f t="shared" si="4"/>
        <v/>
      </c>
      <c r="AP13" s="60" t="str">
        <f t="shared" si="4"/>
        <v/>
      </c>
      <c r="AQ13" s="60" t="str">
        <f t="shared" si="4"/>
        <v/>
      </c>
      <c r="AR13" s="60" t="str">
        <f t="shared" si="4"/>
        <v/>
      </c>
      <c r="AS13" s="60" t="str">
        <f t="shared" si="4"/>
        <v/>
      </c>
      <c r="AT13" s="60" t="str">
        <f t="shared" si="4"/>
        <v/>
      </c>
      <c r="AU13" s="60" t="str">
        <f t="shared" si="4"/>
        <v/>
      </c>
      <c r="AV13" s="60" t="str">
        <f t="shared" si="4"/>
        <v/>
      </c>
      <c r="AW13" s="60" t="str">
        <f t="shared" si="4"/>
        <v/>
      </c>
      <c r="AX13" s="60" t="str">
        <f t="shared" si="4"/>
        <v/>
      </c>
      <c r="AY13" s="60" t="str">
        <f t="shared" si="4"/>
        <v/>
      </c>
      <c r="AZ13" s="60" t="str">
        <f t="shared" si="4"/>
        <v/>
      </c>
      <c r="BA13" s="60" t="str">
        <f t="shared" si="5"/>
        <v/>
      </c>
      <c r="BB13" s="43"/>
      <c r="BC13" s="38"/>
    </row>
    <row r="14" spans="1:55" x14ac:dyDescent="0.35">
      <c r="A14" s="41"/>
      <c r="B14" s="41"/>
      <c r="C14" s="41"/>
      <c r="D14" s="42"/>
      <c r="E14" s="43"/>
      <c r="F14" s="42"/>
      <c r="G14" s="43"/>
      <c r="H14" s="44"/>
      <c r="I14" s="60" t="str">
        <f>IF(OR(COUNTA(tblPayrollIncrementalSpend2[[#This Row],[Job Title]:[Hire Date]])&gt;0,AND(ROW()=ROW(G14),tblPayrollIncrementalSpend2[[#This Row],[Base Salary]]&lt;&gt;"")),N(tblPayrollIncrementalSpend2[[#This Row],[Base Salary]])*N(tblPayrollIncrementalSpend2[[#This Row],[Bonus %]]),"")</f>
        <v/>
      </c>
      <c r="J14" s="60" t="str">
        <f>IF(OR(COUNTA(tblPayrollIncrementalSpend2[[#This Row],[Job Title]:[Hire Date]])&gt;0,AND(ROW()=ROW(G14),tblPayrollIncrementalSpend2[[#This Row],[Base Salary]]&lt;&gt;"")),N(tblPayrollIncrementalSpend2[[#This Row],[Base Salary]])*'Base - Payroll'!$E$12,"")</f>
        <v/>
      </c>
      <c r="K14" s="60" t="str">
        <f>IF(OR(COUNTA(tblPayrollIncrementalSpend2[[#This Row],[Job Title]:[Hire Date]])&gt;0,AND(ROW()=ROW(G14),tblPayrollIncrementalSpend2[[#This Row],[Base Salary]]&lt;&gt;"")),N(tblPayrollIncrementalSpend2[[#This Row],[Base Salary]])*'Base - Payroll'!$E$13,"")</f>
        <v/>
      </c>
      <c r="L14" s="60" t="str">
        <f>IF(OR(COUNTA(tblPayrollIncrementalSpend2[[#This Row],[Job Title]:[Hire Date]])&gt;0,AND(ROW()=ROW(G14),tblPayrollIncrementalSpend2[[#This Row],[Base Salary]]&lt;&gt;"")),N(tblPayrollIncrementalSpend2[[#This Row],[Base Salary]])*'Base - Payroll'!$E$15,"")</f>
        <v/>
      </c>
      <c r="M14" s="60" t="str">
        <f>IF(OR(COUNTA(tblPayrollIncrementalSpend2[[#This Row],[Job Title]:[Hire Date]])&gt;0,AND(ROW()=ROW(G14),tblPayrollIncrementalSpend2[[#This Row],[Base Salary]]&lt;&gt;"")),N(tblPayrollIncrementalSpend2[[#This Row],[Base Salary]])*'Base - Payroll'!$E$16,"")</f>
        <v/>
      </c>
      <c r="N14" s="60" t="str">
        <f>IF(OR(COUNTA(tblPayrollIncrementalSpend2[[#This Row],[Job Title]:[Hire Date]])&gt;0,AND(ROW()=ROW(G14),tblPayrollIncrementalSpend2[[#This Row],[Base Salary]]&lt;&gt;"")),N(tblPayrollIncrementalSpend2[[#This Row],[Base Salary]])+SUM(tblPayrollIncrementalSpend2[[#This Row],[Bonus]:[Other]]),"")</f>
        <v/>
      </c>
      <c r="O14" s="60" t="str">
        <f t="shared" si="0"/>
        <v/>
      </c>
      <c r="P14" s="60" t="str">
        <f t="shared" si="0"/>
        <v/>
      </c>
      <c r="Q14" s="60" t="str">
        <f t="shared" si="0"/>
        <v/>
      </c>
      <c r="R14" s="60" t="str">
        <f t="shared" si="0"/>
        <v/>
      </c>
      <c r="S14" s="60" t="str">
        <f t="shared" si="0"/>
        <v/>
      </c>
      <c r="T14" s="60" t="str">
        <f t="shared" si="0"/>
        <v/>
      </c>
      <c r="U14" s="60" t="str">
        <f t="shared" si="0"/>
        <v/>
      </c>
      <c r="V14" s="60" t="str">
        <f t="shared" si="0"/>
        <v/>
      </c>
      <c r="W14" s="60" t="str">
        <f t="shared" si="0"/>
        <v/>
      </c>
      <c r="X14" s="60" t="str">
        <f t="shared" si="0"/>
        <v/>
      </c>
      <c r="Y14" s="60" t="str">
        <f t="shared" si="0"/>
        <v/>
      </c>
      <c r="Z14" s="60" t="str">
        <f t="shared" si="0"/>
        <v/>
      </c>
      <c r="AA14" s="60" t="str">
        <f t="shared" si="1"/>
        <v/>
      </c>
      <c r="AB14" s="60" t="str">
        <f t="shared" si="2"/>
        <v/>
      </c>
      <c r="AC14" s="60" t="str">
        <f t="shared" si="2"/>
        <v/>
      </c>
      <c r="AD14" s="60" t="str">
        <f t="shared" si="2"/>
        <v/>
      </c>
      <c r="AE14" s="60" t="str">
        <f t="shared" si="2"/>
        <v/>
      </c>
      <c r="AF14" s="60" t="str">
        <f t="shared" si="2"/>
        <v/>
      </c>
      <c r="AG14" s="60" t="str">
        <f t="shared" si="2"/>
        <v/>
      </c>
      <c r="AH14" s="60" t="str">
        <f t="shared" si="2"/>
        <v/>
      </c>
      <c r="AI14" s="60" t="str">
        <f t="shared" si="2"/>
        <v/>
      </c>
      <c r="AJ14" s="60" t="str">
        <f t="shared" si="2"/>
        <v/>
      </c>
      <c r="AK14" s="60" t="str">
        <f t="shared" si="2"/>
        <v/>
      </c>
      <c r="AL14" s="60" t="str">
        <f t="shared" si="2"/>
        <v/>
      </c>
      <c r="AM14" s="60" t="str">
        <f t="shared" si="2"/>
        <v/>
      </c>
      <c r="AN14" s="60" t="str">
        <f t="shared" si="3"/>
        <v/>
      </c>
      <c r="AO14" s="60" t="str">
        <f t="shared" si="4"/>
        <v/>
      </c>
      <c r="AP14" s="60" t="str">
        <f t="shared" si="4"/>
        <v/>
      </c>
      <c r="AQ14" s="60" t="str">
        <f t="shared" si="4"/>
        <v/>
      </c>
      <c r="AR14" s="60" t="str">
        <f t="shared" si="4"/>
        <v/>
      </c>
      <c r="AS14" s="60" t="str">
        <f t="shared" si="4"/>
        <v/>
      </c>
      <c r="AT14" s="60" t="str">
        <f t="shared" si="4"/>
        <v/>
      </c>
      <c r="AU14" s="60" t="str">
        <f t="shared" si="4"/>
        <v/>
      </c>
      <c r="AV14" s="60" t="str">
        <f t="shared" si="4"/>
        <v/>
      </c>
      <c r="AW14" s="60" t="str">
        <f t="shared" si="4"/>
        <v/>
      </c>
      <c r="AX14" s="60" t="str">
        <f t="shared" si="4"/>
        <v/>
      </c>
      <c r="AY14" s="60" t="str">
        <f t="shared" si="4"/>
        <v/>
      </c>
      <c r="AZ14" s="60" t="str">
        <f t="shared" si="4"/>
        <v/>
      </c>
      <c r="BA14" s="60" t="str">
        <f t="shared" si="5"/>
        <v/>
      </c>
      <c r="BB14" s="43"/>
      <c r="BC14" s="38"/>
    </row>
    <row r="15" spans="1:55" x14ac:dyDescent="0.35">
      <c r="A15" s="41"/>
      <c r="B15" s="41"/>
      <c r="C15" s="41"/>
      <c r="D15" s="42"/>
      <c r="E15" s="43"/>
      <c r="F15" s="42"/>
      <c r="G15" s="43"/>
      <c r="H15" s="44"/>
      <c r="I15" s="60" t="str">
        <f>IF(OR(COUNTA(tblPayrollIncrementalSpend2[[#This Row],[Job Title]:[Hire Date]])&gt;0,AND(ROW()=ROW(G15),tblPayrollIncrementalSpend2[[#This Row],[Base Salary]]&lt;&gt;"")),N(tblPayrollIncrementalSpend2[[#This Row],[Base Salary]])*N(tblPayrollIncrementalSpend2[[#This Row],[Bonus %]]),"")</f>
        <v/>
      </c>
      <c r="J15" s="60" t="str">
        <f>IF(OR(COUNTA(tblPayrollIncrementalSpend2[[#This Row],[Job Title]:[Hire Date]])&gt;0,AND(ROW()=ROW(G15),tblPayrollIncrementalSpend2[[#This Row],[Base Salary]]&lt;&gt;"")),N(tblPayrollIncrementalSpend2[[#This Row],[Base Salary]])*'Base - Payroll'!$E$12,"")</f>
        <v/>
      </c>
      <c r="K15" s="60" t="str">
        <f>IF(OR(COUNTA(tblPayrollIncrementalSpend2[[#This Row],[Job Title]:[Hire Date]])&gt;0,AND(ROW()=ROW(G15),tblPayrollIncrementalSpend2[[#This Row],[Base Salary]]&lt;&gt;"")),N(tblPayrollIncrementalSpend2[[#This Row],[Base Salary]])*'Base - Payroll'!$E$13,"")</f>
        <v/>
      </c>
      <c r="L15" s="60" t="str">
        <f>IF(OR(COUNTA(tblPayrollIncrementalSpend2[[#This Row],[Job Title]:[Hire Date]])&gt;0,AND(ROW()=ROW(G15),tblPayrollIncrementalSpend2[[#This Row],[Base Salary]]&lt;&gt;"")),N(tblPayrollIncrementalSpend2[[#This Row],[Base Salary]])*'Base - Payroll'!$E$15,"")</f>
        <v/>
      </c>
      <c r="M15" s="60" t="str">
        <f>IF(OR(COUNTA(tblPayrollIncrementalSpend2[[#This Row],[Job Title]:[Hire Date]])&gt;0,AND(ROW()=ROW(G15),tblPayrollIncrementalSpend2[[#This Row],[Base Salary]]&lt;&gt;"")),N(tblPayrollIncrementalSpend2[[#This Row],[Base Salary]])*'Base - Payroll'!$E$16,"")</f>
        <v/>
      </c>
      <c r="N15" s="60" t="str">
        <f>IF(OR(COUNTA(tblPayrollIncrementalSpend2[[#This Row],[Job Title]:[Hire Date]])&gt;0,AND(ROW()=ROW(G15),tblPayrollIncrementalSpend2[[#This Row],[Base Salary]]&lt;&gt;"")),N(tblPayrollIncrementalSpend2[[#This Row],[Base Salary]])+SUM(tblPayrollIncrementalSpend2[[#This Row],[Bonus]:[Other]]),"")</f>
        <v/>
      </c>
      <c r="O15" s="60" t="str">
        <f t="shared" ref="O15:Z20" si="6">_xlfn.LET(_xlpm.m,IF(ISNUMBER(O$4),DATE(YEAR(O$4),MONTH(O$4),1),DATEVALUE("1-"&amp;O$4)),IF(OR(COUNTA($A15:$F15)&gt;0,$G15&lt;&gt;""),$N15/12*IF($F15="",1,MAX(0,(EOMONTH(_xlpm.m,0)-MAX($F15,_xlpm.m)+1)/(EOMONTH(_xlpm.m,0)-_xlpm.m+1))),""))</f>
        <v/>
      </c>
      <c r="P15" s="60" t="str">
        <f t="shared" si="6"/>
        <v/>
      </c>
      <c r="Q15" s="60" t="str">
        <f t="shared" si="6"/>
        <v/>
      </c>
      <c r="R15" s="60" t="str">
        <f t="shared" si="6"/>
        <v/>
      </c>
      <c r="S15" s="60" t="str">
        <f t="shared" si="6"/>
        <v/>
      </c>
      <c r="T15" s="60" t="str">
        <f t="shared" si="6"/>
        <v/>
      </c>
      <c r="U15" s="60" t="str">
        <f t="shared" si="6"/>
        <v/>
      </c>
      <c r="V15" s="60" t="str">
        <f t="shared" si="6"/>
        <v/>
      </c>
      <c r="W15" s="60" t="str">
        <f t="shared" si="6"/>
        <v/>
      </c>
      <c r="X15" s="60" t="str">
        <f t="shared" si="6"/>
        <v/>
      </c>
      <c r="Y15" s="60" t="str">
        <f t="shared" si="6"/>
        <v/>
      </c>
      <c r="Z15" s="60" t="str">
        <f t="shared" si="6"/>
        <v/>
      </c>
      <c r="AA15" s="60" t="str">
        <f t="shared" si="1"/>
        <v/>
      </c>
      <c r="AB15" s="60" t="str">
        <f t="shared" ref="AB15:AM20" si="7">_xlfn.LET(_xlpm.m,IF(ISNUMBER(AB$4),DATE(YEAR(AB$4),MONTH(AB$4),1),DATEVALUE("1-"&amp;AB$4)),IF(OR(COUNTA($A15:$F15)&gt;0,$G15&lt;&gt;""),$N15/12*IF($F15="",1,MAX(0,(EOMONTH(_xlpm.m,0)-MAX($F15,_xlpm.m)+1)/(EOMONTH(_xlpm.m,0)-_xlpm.m+1))),""))</f>
        <v/>
      </c>
      <c r="AC15" s="60" t="str">
        <f t="shared" si="7"/>
        <v/>
      </c>
      <c r="AD15" s="60" t="str">
        <f t="shared" si="7"/>
        <v/>
      </c>
      <c r="AE15" s="60" t="str">
        <f t="shared" si="7"/>
        <v/>
      </c>
      <c r="AF15" s="60" t="str">
        <f t="shared" si="7"/>
        <v/>
      </c>
      <c r="AG15" s="60" t="str">
        <f t="shared" si="7"/>
        <v/>
      </c>
      <c r="AH15" s="60" t="str">
        <f t="shared" si="7"/>
        <v/>
      </c>
      <c r="AI15" s="60" t="str">
        <f t="shared" si="7"/>
        <v/>
      </c>
      <c r="AJ15" s="60" t="str">
        <f t="shared" si="7"/>
        <v/>
      </c>
      <c r="AK15" s="60" t="str">
        <f t="shared" si="7"/>
        <v/>
      </c>
      <c r="AL15" s="60" t="str">
        <f t="shared" si="7"/>
        <v/>
      </c>
      <c r="AM15" s="60" t="str">
        <f t="shared" si="7"/>
        <v/>
      </c>
      <c r="AN15" s="60" t="str">
        <f t="shared" si="3"/>
        <v/>
      </c>
      <c r="AO15" s="60" t="str">
        <f t="shared" ref="AO15:AZ20" si="8">_xlfn.LET(_xlpm.m,IF(ISNUMBER(AO$4),DATE(YEAR(AO$4),MONTH(AO$4),1),DATEVALUE("1-"&amp;AO$4)),IF(OR(COUNTA($A15:$F15)&gt;0,$G15&lt;&gt;""),$N15/12*IF($F15="",1,MAX(0,(EOMONTH(_xlpm.m,0)-MAX($F15,_xlpm.m)+1)/(EOMONTH(_xlpm.m,0)-_xlpm.m+1))),""))</f>
        <v/>
      </c>
      <c r="AP15" s="60" t="str">
        <f t="shared" si="8"/>
        <v/>
      </c>
      <c r="AQ15" s="60" t="str">
        <f t="shared" si="8"/>
        <v/>
      </c>
      <c r="AR15" s="60" t="str">
        <f t="shared" si="8"/>
        <v/>
      </c>
      <c r="AS15" s="60" t="str">
        <f t="shared" si="8"/>
        <v/>
      </c>
      <c r="AT15" s="60" t="str">
        <f t="shared" si="8"/>
        <v/>
      </c>
      <c r="AU15" s="60" t="str">
        <f t="shared" si="8"/>
        <v/>
      </c>
      <c r="AV15" s="60" t="str">
        <f t="shared" si="8"/>
        <v/>
      </c>
      <c r="AW15" s="60" t="str">
        <f t="shared" si="8"/>
        <v/>
      </c>
      <c r="AX15" s="60" t="str">
        <f t="shared" si="8"/>
        <v/>
      </c>
      <c r="AY15" s="60" t="str">
        <f t="shared" si="8"/>
        <v/>
      </c>
      <c r="AZ15" s="60" t="str">
        <f t="shared" si="8"/>
        <v/>
      </c>
      <c r="BA15" s="60" t="str">
        <f t="shared" si="5"/>
        <v/>
      </c>
      <c r="BB15" s="43"/>
      <c r="BC15" s="38"/>
    </row>
    <row r="16" spans="1:55" x14ac:dyDescent="0.35">
      <c r="A16" s="41"/>
      <c r="B16" s="41"/>
      <c r="C16" s="41"/>
      <c r="D16" s="42"/>
      <c r="E16" s="43"/>
      <c r="F16" s="42"/>
      <c r="G16" s="43"/>
      <c r="H16" s="44"/>
      <c r="I16" s="60" t="str">
        <f>IF(OR(COUNTA(tblPayrollIncrementalSpend2[[#This Row],[Job Title]:[Hire Date]])&gt;0,AND(ROW()=ROW(G16),tblPayrollIncrementalSpend2[[#This Row],[Base Salary]]&lt;&gt;"")),N(tblPayrollIncrementalSpend2[[#This Row],[Base Salary]])*N(tblPayrollIncrementalSpend2[[#This Row],[Bonus %]]),"")</f>
        <v/>
      </c>
      <c r="J16" s="60" t="str">
        <f>IF(OR(COUNTA(tblPayrollIncrementalSpend2[[#This Row],[Job Title]:[Hire Date]])&gt;0,AND(ROW()=ROW(G16),tblPayrollIncrementalSpend2[[#This Row],[Base Salary]]&lt;&gt;"")),N(tblPayrollIncrementalSpend2[[#This Row],[Base Salary]])*'Base - Payroll'!$E$12,"")</f>
        <v/>
      </c>
      <c r="K16" s="60" t="str">
        <f>IF(OR(COUNTA(tblPayrollIncrementalSpend2[[#This Row],[Job Title]:[Hire Date]])&gt;0,AND(ROW()=ROW(G16),tblPayrollIncrementalSpend2[[#This Row],[Base Salary]]&lt;&gt;"")),N(tblPayrollIncrementalSpend2[[#This Row],[Base Salary]])*'Base - Payroll'!$E$13,"")</f>
        <v/>
      </c>
      <c r="L16" s="60" t="str">
        <f>IF(OR(COUNTA(tblPayrollIncrementalSpend2[[#This Row],[Job Title]:[Hire Date]])&gt;0,AND(ROW()=ROW(G16),tblPayrollIncrementalSpend2[[#This Row],[Base Salary]]&lt;&gt;"")),N(tblPayrollIncrementalSpend2[[#This Row],[Base Salary]])*'Base - Payroll'!$E$15,"")</f>
        <v/>
      </c>
      <c r="M16" s="60" t="str">
        <f>IF(OR(COUNTA(tblPayrollIncrementalSpend2[[#This Row],[Job Title]:[Hire Date]])&gt;0,AND(ROW()=ROW(G16),tblPayrollIncrementalSpend2[[#This Row],[Base Salary]]&lt;&gt;"")),N(tblPayrollIncrementalSpend2[[#This Row],[Base Salary]])*'Base - Payroll'!$E$16,"")</f>
        <v/>
      </c>
      <c r="N16" s="60" t="str">
        <f>IF(OR(COUNTA(tblPayrollIncrementalSpend2[[#This Row],[Job Title]:[Hire Date]])&gt;0,AND(ROW()=ROW(G16),tblPayrollIncrementalSpend2[[#This Row],[Base Salary]]&lt;&gt;"")),N(tblPayrollIncrementalSpend2[[#This Row],[Base Salary]])+SUM(tblPayrollIncrementalSpend2[[#This Row],[Bonus]:[Other]]),"")</f>
        <v/>
      </c>
      <c r="O16" s="60" t="str">
        <f t="shared" si="6"/>
        <v/>
      </c>
      <c r="P16" s="60" t="str">
        <f t="shared" si="6"/>
        <v/>
      </c>
      <c r="Q16" s="60" t="str">
        <f t="shared" si="6"/>
        <v/>
      </c>
      <c r="R16" s="60" t="str">
        <f t="shared" si="6"/>
        <v/>
      </c>
      <c r="S16" s="60" t="str">
        <f t="shared" si="6"/>
        <v/>
      </c>
      <c r="T16" s="60" t="str">
        <f t="shared" si="6"/>
        <v/>
      </c>
      <c r="U16" s="60" t="str">
        <f t="shared" si="6"/>
        <v/>
      </c>
      <c r="V16" s="60" t="str">
        <f t="shared" si="6"/>
        <v/>
      </c>
      <c r="W16" s="60" t="str">
        <f t="shared" si="6"/>
        <v/>
      </c>
      <c r="X16" s="60" t="str">
        <f t="shared" si="6"/>
        <v/>
      </c>
      <c r="Y16" s="60" t="str">
        <f t="shared" si="6"/>
        <v/>
      </c>
      <c r="Z16" s="60" t="str">
        <f t="shared" si="6"/>
        <v/>
      </c>
      <c r="AA16" s="60" t="str">
        <f t="shared" si="1"/>
        <v/>
      </c>
      <c r="AB16" s="60" t="str">
        <f t="shared" si="7"/>
        <v/>
      </c>
      <c r="AC16" s="60" t="str">
        <f t="shared" si="7"/>
        <v/>
      </c>
      <c r="AD16" s="60" t="str">
        <f t="shared" si="7"/>
        <v/>
      </c>
      <c r="AE16" s="60" t="str">
        <f t="shared" si="7"/>
        <v/>
      </c>
      <c r="AF16" s="60" t="str">
        <f t="shared" si="7"/>
        <v/>
      </c>
      <c r="AG16" s="60" t="str">
        <f t="shared" si="7"/>
        <v/>
      </c>
      <c r="AH16" s="60" t="str">
        <f t="shared" si="7"/>
        <v/>
      </c>
      <c r="AI16" s="60" t="str">
        <f t="shared" si="7"/>
        <v/>
      </c>
      <c r="AJ16" s="60" t="str">
        <f t="shared" si="7"/>
        <v/>
      </c>
      <c r="AK16" s="60" t="str">
        <f t="shared" si="7"/>
        <v/>
      </c>
      <c r="AL16" s="60" t="str">
        <f t="shared" si="7"/>
        <v/>
      </c>
      <c r="AM16" s="60" t="str">
        <f t="shared" si="7"/>
        <v/>
      </c>
      <c r="AN16" s="60" t="str">
        <f t="shared" si="3"/>
        <v/>
      </c>
      <c r="AO16" s="60" t="str">
        <f t="shared" si="8"/>
        <v/>
      </c>
      <c r="AP16" s="60" t="str">
        <f t="shared" si="8"/>
        <v/>
      </c>
      <c r="AQ16" s="60" t="str">
        <f t="shared" si="8"/>
        <v/>
      </c>
      <c r="AR16" s="60" t="str">
        <f t="shared" si="8"/>
        <v/>
      </c>
      <c r="AS16" s="60" t="str">
        <f t="shared" si="8"/>
        <v/>
      </c>
      <c r="AT16" s="60" t="str">
        <f t="shared" si="8"/>
        <v/>
      </c>
      <c r="AU16" s="60" t="str">
        <f t="shared" si="8"/>
        <v/>
      </c>
      <c r="AV16" s="60" t="str">
        <f t="shared" si="8"/>
        <v/>
      </c>
      <c r="AW16" s="60" t="str">
        <f t="shared" si="8"/>
        <v/>
      </c>
      <c r="AX16" s="60" t="str">
        <f t="shared" si="8"/>
        <v/>
      </c>
      <c r="AY16" s="60" t="str">
        <f t="shared" si="8"/>
        <v/>
      </c>
      <c r="AZ16" s="60" t="str">
        <f t="shared" si="8"/>
        <v/>
      </c>
      <c r="BA16" s="60" t="str">
        <f t="shared" si="5"/>
        <v/>
      </c>
      <c r="BB16" s="43"/>
      <c r="BC16" s="38"/>
    </row>
    <row r="17" spans="1:55" x14ac:dyDescent="0.35">
      <c r="A17" s="41"/>
      <c r="B17" s="41"/>
      <c r="C17" s="41"/>
      <c r="D17" s="42"/>
      <c r="E17" s="43"/>
      <c r="F17" s="42"/>
      <c r="G17" s="43"/>
      <c r="H17" s="44"/>
      <c r="I17" s="60" t="str">
        <f>IF(OR(COUNTA(tblPayrollIncrementalSpend2[[#This Row],[Job Title]:[Hire Date]])&gt;0,AND(ROW()=ROW(G17),tblPayrollIncrementalSpend2[[#This Row],[Base Salary]]&lt;&gt;"")),N(tblPayrollIncrementalSpend2[[#This Row],[Base Salary]])*N(tblPayrollIncrementalSpend2[[#This Row],[Bonus %]]),"")</f>
        <v/>
      </c>
      <c r="J17" s="60" t="str">
        <f>IF(OR(COUNTA(tblPayrollIncrementalSpend2[[#This Row],[Job Title]:[Hire Date]])&gt;0,AND(ROW()=ROW(G17),tblPayrollIncrementalSpend2[[#This Row],[Base Salary]]&lt;&gt;"")),N(tblPayrollIncrementalSpend2[[#This Row],[Base Salary]])*'Base - Payroll'!$E$12,"")</f>
        <v/>
      </c>
      <c r="K17" s="60" t="str">
        <f>IF(OR(COUNTA(tblPayrollIncrementalSpend2[[#This Row],[Job Title]:[Hire Date]])&gt;0,AND(ROW()=ROW(G17),tblPayrollIncrementalSpend2[[#This Row],[Base Salary]]&lt;&gt;"")),N(tblPayrollIncrementalSpend2[[#This Row],[Base Salary]])*'Base - Payroll'!$E$13,"")</f>
        <v/>
      </c>
      <c r="L17" s="60" t="str">
        <f>IF(OR(COUNTA(tblPayrollIncrementalSpend2[[#This Row],[Job Title]:[Hire Date]])&gt;0,AND(ROW()=ROW(G17),tblPayrollIncrementalSpend2[[#This Row],[Base Salary]]&lt;&gt;"")),N(tblPayrollIncrementalSpend2[[#This Row],[Base Salary]])*'Base - Payroll'!$E$15,"")</f>
        <v/>
      </c>
      <c r="M17" s="60" t="str">
        <f>IF(OR(COUNTA(tblPayrollIncrementalSpend2[[#This Row],[Job Title]:[Hire Date]])&gt;0,AND(ROW()=ROW(G17),tblPayrollIncrementalSpend2[[#This Row],[Base Salary]]&lt;&gt;"")),N(tblPayrollIncrementalSpend2[[#This Row],[Base Salary]])*'Base - Payroll'!$E$16,"")</f>
        <v/>
      </c>
      <c r="N17" s="60" t="str">
        <f>IF(OR(COUNTA(tblPayrollIncrementalSpend2[[#This Row],[Job Title]:[Hire Date]])&gt;0,AND(ROW()=ROW(G17),tblPayrollIncrementalSpend2[[#This Row],[Base Salary]]&lt;&gt;"")),N(tblPayrollIncrementalSpend2[[#This Row],[Base Salary]])+SUM(tblPayrollIncrementalSpend2[[#This Row],[Bonus]:[Other]]),"")</f>
        <v/>
      </c>
      <c r="O17" s="60" t="str">
        <f t="shared" si="6"/>
        <v/>
      </c>
      <c r="P17" s="60" t="str">
        <f t="shared" si="6"/>
        <v/>
      </c>
      <c r="Q17" s="60" t="str">
        <f t="shared" si="6"/>
        <v/>
      </c>
      <c r="R17" s="60" t="str">
        <f t="shared" si="6"/>
        <v/>
      </c>
      <c r="S17" s="60" t="str">
        <f t="shared" si="6"/>
        <v/>
      </c>
      <c r="T17" s="60" t="str">
        <f t="shared" si="6"/>
        <v/>
      </c>
      <c r="U17" s="60" t="str">
        <f t="shared" si="6"/>
        <v/>
      </c>
      <c r="V17" s="60" t="str">
        <f t="shared" si="6"/>
        <v/>
      </c>
      <c r="W17" s="60" t="str">
        <f t="shared" si="6"/>
        <v/>
      </c>
      <c r="X17" s="60" t="str">
        <f t="shared" si="6"/>
        <v/>
      </c>
      <c r="Y17" s="60" t="str">
        <f t="shared" si="6"/>
        <v/>
      </c>
      <c r="Z17" s="60" t="str">
        <f t="shared" si="6"/>
        <v/>
      </c>
      <c r="AA17" s="60" t="str">
        <f t="shared" si="1"/>
        <v/>
      </c>
      <c r="AB17" s="60" t="str">
        <f t="shared" si="7"/>
        <v/>
      </c>
      <c r="AC17" s="60" t="str">
        <f t="shared" si="7"/>
        <v/>
      </c>
      <c r="AD17" s="60" t="str">
        <f t="shared" si="7"/>
        <v/>
      </c>
      <c r="AE17" s="60" t="str">
        <f t="shared" si="7"/>
        <v/>
      </c>
      <c r="AF17" s="60" t="str">
        <f t="shared" si="7"/>
        <v/>
      </c>
      <c r="AG17" s="60" t="str">
        <f t="shared" si="7"/>
        <v/>
      </c>
      <c r="AH17" s="60" t="str">
        <f t="shared" si="7"/>
        <v/>
      </c>
      <c r="AI17" s="60" t="str">
        <f t="shared" si="7"/>
        <v/>
      </c>
      <c r="AJ17" s="60" t="str">
        <f t="shared" si="7"/>
        <v/>
      </c>
      <c r="AK17" s="60" t="str">
        <f t="shared" si="7"/>
        <v/>
      </c>
      <c r="AL17" s="60" t="str">
        <f t="shared" si="7"/>
        <v/>
      </c>
      <c r="AM17" s="60" t="str">
        <f t="shared" si="7"/>
        <v/>
      </c>
      <c r="AN17" s="60" t="str">
        <f t="shared" si="3"/>
        <v/>
      </c>
      <c r="AO17" s="60" t="str">
        <f t="shared" si="8"/>
        <v/>
      </c>
      <c r="AP17" s="60" t="str">
        <f t="shared" si="8"/>
        <v/>
      </c>
      <c r="AQ17" s="60" t="str">
        <f t="shared" si="8"/>
        <v/>
      </c>
      <c r="AR17" s="60" t="str">
        <f t="shared" si="8"/>
        <v/>
      </c>
      <c r="AS17" s="60" t="str">
        <f t="shared" si="8"/>
        <v/>
      </c>
      <c r="AT17" s="60" t="str">
        <f t="shared" si="8"/>
        <v/>
      </c>
      <c r="AU17" s="60" t="str">
        <f t="shared" si="8"/>
        <v/>
      </c>
      <c r="AV17" s="60" t="str">
        <f t="shared" si="8"/>
        <v/>
      </c>
      <c r="AW17" s="60" t="str">
        <f t="shared" si="8"/>
        <v/>
      </c>
      <c r="AX17" s="60" t="str">
        <f t="shared" si="8"/>
        <v/>
      </c>
      <c r="AY17" s="60" t="str">
        <f t="shared" si="8"/>
        <v/>
      </c>
      <c r="AZ17" s="60" t="str">
        <f t="shared" si="8"/>
        <v/>
      </c>
      <c r="BA17" s="60" t="str">
        <f t="shared" si="5"/>
        <v/>
      </c>
      <c r="BB17" s="43"/>
      <c r="BC17" s="38"/>
    </row>
    <row r="18" spans="1:55" x14ac:dyDescent="0.35">
      <c r="A18" s="41"/>
      <c r="B18" s="41"/>
      <c r="C18" s="41"/>
      <c r="D18" s="42"/>
      <c r="E18" s="43"/>
      <c r="F18" s="42"/>
      <c r="G18" s="43"/>
      <c r="H18" s="44"/>
      <c r="I18" s="60" t="str">
        <f>IF(OR(COUNTA(tblPayrollIncrementalSpend2[[#This Row],[Job Title]:[Hire Date]])&gt;0,AND(ROW()=ROW(G18),tblPayrollIncrementalSpend2[[#This Row],[Base Salary]]&lt;&gt;"")),N(tblPayrollIncrementalSpend2[[#This Row],[Base Salary]])*N(tblPayrollIncrementalSpend2[[#This Row],[Bonus %]]),"")</f>
        <v/>
      </c>
      <c r="J18" s="60" t="str">
        <f>IF(OR(COUNTA(tblPayrollIncrementalSpend2[[#This Row],[Job Title]:[Hire Date]])&gt;0,AND(ROW()=ROW(G18),tblPayrollIncrementalSpend2[[#This Row],[Base Salary]]&lt;&gt;"")),N(tblPayrollIncrementalSpend2[[#This Row],[Base Salary]])*'Base - Payroll'!$E$12,"")</f>
        <v/>
      </c>
      <c r="K18" s="60" t="str">
        <f>IF(OR(COUNTA(tblPayrollIncrementalSpend2[[#This Row],[Job Title]:[Hire Date]])&gt;0,AND(ROW()=ROW(G18),tblPayrollIncrementalSpend2[[#This Row],[Base Salary]]&lt;&gt;"")),N(tblPayrollIncrementalSpend2[[#This Row],[Base Salary]])*'Base - Payroll'!$E$13,"")</f>
        <v/>
      </c>
      <c r="L18" s="60" t="str">
        <f>IF(OR(COUNTA(tblPayrollIncrementalSpend2[[#This Row],[Job Title]:[Hire Date]])&gt;0,AND(ROW()=ROW(G18),tblPayrollIncrementalSpend2[[#This Row],[Base Salary]]&lt;&gt;"")),N(tblPayrollIncrementalSpend2[[#This Row],[Base Salary]])*'Base - Payroll'!$E$15,"")</f>
        <v/>
      </c>
      <c r="M18" s="60" t="str">
        <f>IF(OR(COUNTA(tblPayrollIncrementalSpend2[[#This Row],[Job Title]:[Hire Date]])&gt;0,AND(ROW()=ROW(G18),tblPayrollIncrementalSpend2[[#This Row],[Base Salary]]&lt;&gt;"")),N(tblPayrollIncrementalSpend2[[#This Row],[Base Salary]])*'Base - Payroll'!$E$16,"")</f>
        <v/>
      </c>
      <c r="N18" s="60" t="str">
        <f>IF(OR(COUNTA(tblPayrollIncrementalSpend2[[#This Row],[Job Title]:[Hire Date]])&gt;0,AND(ROW()=ROW(G18),tblPayrollIncrementalSpend2[[#This Row],[Base Salary]]&lt;&gt;"")),N(tblPayrollIncrementalSpend2[[#This Row],[Base Salary]])+SUM(tblPayrollIncrementalSpend2[[#This Row],[Bonus]:[Other]]),"")</f>
        <v/>
      </c>
      <c r="O18" s="60" t="str">
        <f t="shared" si="6"/>
        <v/>
      </c>
      <c r="P18" s="60" t="str">
        <f t="shared" si="6"/>
        <v/>
      </c>
      <c r="Q18" s="60" t="str">
        <f t="shared" si="6"/>
        <v/>
      </c>
      <c r="R18" s="60" t="str">
        <f t="shared" si="6"/>
        <v/>
      </c>
      <c r="S18" s="60" t="str">
        <f t="shared" si="6"/>
        <v/>
      </c>
      <c r="T18" s="60" t="str">
        <f t="shared" si="6"/>
        <v/>
      </c>
      <c r="U18" s="60" t="str">
        <f t="shared" si="6"/>
        <v/>
      </c>
      <c r="V18" s="60" t="str">
        <f t="shared" si="6"/>
        <v/>
      </c>
      <c r="W18" s="60" t="str">
        <f t="shared" si="6"/>
        <v/>
      </c>
      <c r="X18" s="60" t="str">
        <f t="shared" si="6"/>
        <v/>
      </c>
      <c r="Y18" s="60" t="str">
        <f t="shared" si="6"/>
        <v/>
      </c>
      <c r="Z18" s="60" t="str">
        <f t="shared" si="6"/>
        <v/>
      </c>
      <c r="AA18" s="60" t="str">
        <f t="shared" si="1"/>
        <v/>
      </c>
      <c r="AB18" s="60" t="str">
        <f t="shared" si="7"/>
        <v/>
      </c>
      <c r="AC18" s="60" t="str">
        <f t="shared" si="7"/>
        <v/>
      </c>
      <c r="AD18" s="60" t="str">
        <f t="shared" si="7"/>
        <v/>
      </c>
      <c r="AE18" s="60" t="str">
        <f t="shared" si="7"/>
        <v/>
      </c>
      <c r="AF18" s="60" t="str">
        <f t="shared" si="7"/>
        <v/>
      </c>
      <c r="AG18" s="60" t="str">
        <f t="shared" si="7"/>
        <v/>
      </c>
      <c r="AH18" s="60" t="str">
        <f t="shared" si="7"/>
        <v/>
      </c>
      <c r="AI18" s="60" t="str">
        <f t="shared" si="7"/>
        <v/>
      </c>
      <c r="AJ18" s="60" t="str">
        <f t="shared" si="7"/>
        <v/>
      </c>
      <c r="AK18" s="60" t="str">
        <f t="shared" si="7"/>
        <v/>
      </c>
      <c r="AL18" s="60" t="str">
        <f t="shared" si="7"/>
        <v/>
      </c>
      <c r="AM18" s="60" t="str">
        <f t="shared" si="7"/>
        <v/>
      </c>
      <c r="AN18" s="60" t="str">
        <f t="shared" si="3"/>
        <v/>
      </c>
      <c r="AO18" s="60" t="str">
        <f t="shared" si="8"/>
        <v/>
      </c>
      <c r="AP18" s="60" t="str">
        <f t="shared" si="8"/>
        <v/>
      </c>
      <c r="AQ18" s="60" t="str">
        <f t="shared" si="8"/>
        <v/>
      </c>
      <c r="AR18" s="60" t="str">
        <f t="shared" si="8"/>
        <v/>
      </c>
      <c r="AS18" s="60" t="str">
        <f t="shared" si="8"/>
        <v/>
      </c>
      <c r="AT18" s="60" t="str">
        <f t="shared" si="8"/>
        <v/>
      </c>
      <c r="AU18" s="60" t="str">
        <f t="shared" si="8"/>
        <v/>
      </c>
      <c r="AV18" s="60" t="str">
        <f t="shared" si="8"/>
        <v/>
      </c>
      <c r="AW18" s="60" t="str">
        <f t="shared" si="8"/>
        <v/>
      </c>
      <c r="AX18" s="60" t="str">
        <f t="shared" si="8"/>
        <v/>
      </c>
      <c r="AY18" s="60" t="str">
        <f t="shared" si="8"/>
        <v/>
      </c>
      <c r="AZ18" s="60" t="str">
        <f t="shared" si="8"/>
        <v/>
      </c>
      <c r="BA18" s="60" t="str">
        <f t="shared" si="5"/>
        <v/>
      </c>
      <c r="BB18" s="43"/>
      <c r="BC18" s="38"/>
    </row>
    <row r="19" spans="1:55" x14ac:dyDescent="0.35">
      <c r="A19" s="41"/>
      <c r="B19" s="41"/>
      <c r="C19" s="41"/>
      <c r="D19" s="42"/>
      <c r="E19" s="43"/>
      <c r="F19" s="42"/>
      <c r="G19" s="43"/>
      <c r="H19" s="44"/>
      <c r="I19" s="60" t="str">
        <f>IF(OR(COUNTA(tblPayrollIncrementalSpend2[[#This Row],[Job Title]:[Hire Date]])&gt;0,AND(ROW()=ROW(G19),tblPayrollIncrementalSpend2[[#This Row],[Base Salary]]&lt;&gt;"")),N(tblPayrollIncrementalSpend2[[#This Row],[Base Salary]])*N(tblPayrollIncrementalSpend2[[#This Row],[Bonus %]]),"")</f>
        <v/>
      </c>
      <c r="J19" s="60" t="str">
        <f>IF(OR(COUNTA(tblPayrollIncrementalSpend2[[#This Row],[Job Title]:[Hire Date]])&gt;0,AND(ROW()=ROW(G19),tblPayrollIncrementalSpend2[[#This Row],[Base Salary]]&lt;&gt;"")),N(tblPayrollIncrementalSpend2[[#This Row],[Base Salary]])*'Base - Payroll'!$E$12,"")</f>
        <v/>
      </c>
      <c r="K19" s="60" t="str">
        <f>IF(OR(COUNTA(tblPayrollIncrementalSpend2[[#This Row],[Job Title]:[Hire Date]])&gt;0,AND(ROW()=ROW(G19),tblPayrollIncrementalSpend2[[#This Row],[Base Salary]]&lt;&gt;"")),N(tblPayrollIncrementalSpend2[[#This Row],[Base Salary]])*'Base - Payroll'!$E$13,"")</f>
        <v/>
      </c>
      <c r="L19" s="60" t="str">
        <f>IF(OR(COUNTA(tblPayrollIncrementalSpend2[[#This Row],[Job Title]:[Hire Date]])&gt;0,AND(ROW()=ROW(G19),tblPayrollIncrementalSpend2[[#This Row],[Base Salary]]&lt;&gt;"")),N(tblPayrollIncrementalSpend2[[#This Row],[Base Salary]])*'Base - Payroll'!$E$15,"")</f>
        <v/>
      </c>
      <c r="M19" s="60" t="str">
        <f>IF(OR(COUNTA(tblPayrollIncrementalSpend2[[#This Row],[Job Title]:[Hire Date]])&gt;0,AND(ROW()=ROW(G19),tblPayrollIncrementalSpend2[[#This Row],[Base Salary]]&lt;&gt;"")),N(tblPayrollIncrementalSpend2[[#This Row],[Base Salary]])*'Base - Payroll'!$E$16,"")</f>
        <v/>
      </c>
      <c r="N19" s="60" t="str">
        <f>IF(OR(COUNTA(tblPayrollIncrementalSpend2[[#This Row],[Job Title]:[Hire Date]])&gt;0,AND(ROW()=ROW(G19),tblPayrollIncrementalSpend2[[#This Row],[Base Salary]]&lt;&gt;"")),N(tblPayrollIncrementalSpend2[[#This Row],[Base Salary]])+SUM(tblPayrollIncrementalSpend2[[#This Row],[Bonus]:[Other]]),"")</f>
        <v/>
      </c>
      <c r="O19" s="60" t="str">
        <f t="shared" si="6"/>
        <v/>
      </c>
      <c r="P19" s="60" t="str">
        <f t="shared" si="6"/>
        <v/>
      </c>
      <c r="Q19" s="60" t="str">
        <f t="shared" si="6"/>
        <v/>
      </c>
      <c r="R19" s="60" t="str">
        <f t="shared" si="6"/>
        <v/>
      </c>
      <c r="S19" s="60" t="str">
        <f t="shared" si="6"/>
        <v/>
      </c>
      <c r="T19" s="60" t="str">
        <f t="shared" si="6"/>
        <v/>
      </c>
      <c r="U19" s="60" t="str">
        <f t="shared" si="6"/>
        <v/>
      </c>
      <c r="V19" s="60" t="str">
        <f t="shared" si="6"/>
        <v/>
      </c>
      <c r="W19" s="60" t="str">
        <f t="shared" si="6"/>
        <v/>
      </c>
      <c r="X19" s="60" t="str">
        <f t="shared" si="6"/>
        <v/>
      </c>
      <c r="Y19" s="60" t="str">
        <f t="shared" si="6"/>
        <v/>
      </c>
      <c r="Z19" s="60" t="str">
        <f t="shared" si="6"/>
        <v/>
      </c>
      <c r="AA19" s="60" t="str">
        <f t="shared" si="1"/>
        <v/>
      </c>
      <c r="AB19" s="60" t="str">
        <f t="shared" si="7"/>
        <v/>
      </c>
      <c r="AC19" s="60" t="str">
        <f t="shared" si="7"/>
        <v/>
      </c>
      <c r="AD19" s="60" t="str">
        <f t="shared" si="7"/>
        <v/>
      </c>
      <c r="AE19" s="60" t="str">
        <f t="shared" si="7"/>
        <v/>
      </c>
      <c r="AF19" s="60" t="str">
        <f t="shared" si="7"/>
        <v/>
      </c>
      <c r="AG19" s="60" t="str">
        <f t="shared" si="7"/>
        <v/>
      </c>
      <c r="AH19" s="60" t="str">
        <f t="shared" si="7"/>
        <v/>
      </c>
      <c r="AI19" s="60" t="str">
        <f t="shared" si="7"/>
        <v/>
      </c>
      <c r="AJ19" s="60" t="str">
        <f t="shared" si="7"/>
        <v/>
      </c>
      <c r="AK19" s="60" t="str">
        <f t="shared" si="7"/>
        <v/>
      </c>
      <c r="AL19" s="60" t="str">
        <f t="shared" si="7"/>
        <v/>
      </c>
      <c r="AM19" s="60" t="str">
        <f t="shared" si="7"/>
        <v/>
      </c>
      <c r="AN19" s="60" t="str">
        <f t="shared" si="3"/>
        <v/>
      </c>
      <c r="AO19" s="60" t="str">
        <f t="shared" si="8"/>
        <v/>
      </c>
      <c r="AP19" s="60" t="str">
        <f t="shared" si="8"/>
        <v/>
      </c>
      <c r="AQ19" s="60" t="str">
        <f t="shared" si="8"/>
        <v/>
      </c>
      <c r="AR19" s="60" t="str">
        <f t="shared" si="8"/>
        <v/>
      </c>
      <c r="AS19" s="60" t="str">
        <f t="shared" si="8"/>
        <v/>
      </c>
      <c r="AT19" s="60" t="str">
        <f t="shared" si="8"/>
        <v/>
      </c>
      <c r="AU19" s="60" t="str">
        <f t="shared" si="8"/>
        <v/>
      </c>
      <c r="AV19" s="60" t="str">
        <f t="shared" si="8"/>
        <v/>
      </c>
      <c r="AW19" s="60" t="str">
        <f t="shared" si="8"/>
        <v/>
      </c>
      <c r="AX19" s="60" t="str">
        <f t="shared" si="8"/>
        <v/>
      </c>
      <c r="AY19" s="60" t="str">
        <f t="shared" si="8"/>
        <v/>
      </c>
      <c r="AZ19" s="60" t="str">
        <f t="shared" si="8"/>
        <v/>
      </c>
      <c r="BA19" s="60" t="str">
        <f t="shared" si="5"/>
        <v/>
      </c>
      <c r="BB19" s="43"/>
      <c r="BC19" s="38"/>
    </row>
    <row r="20" spans="1:55" x14ac:dyDescent="0.35">
      <c r="A20" s="41"/>
      <c r="B20" s="41"/>
      <c r="C20" s="41"/>
      <c r="D20" s="42"/>
      <c r="E20" s="43"/>
      <c r="F20" s="42"/>
      <c r="G20" s="43"/>
      <c r="H20" s="44"/>
      <c r="I20" s="60" t="str">
        <f>IF(OR(COUNTA(tblPayrollIncrementalSpend2[[#This Row],[Job Title]:[Hire Date]])&gt;0,AND(ROW()=ROW(G20),tblPayrollIncrementalSpend2[[#This Row],[Base Salary]]&lt;&gt;"")),N(tblPayrollIncrementalSpend2[[#This Row],[Base Salary]])*N(tblPayrollIncrementalSpend2[[#This Row],[Bonus %]]),"")</f>
        <v/>
      </c>
      <c r="J20" s="60" t="str">
        <f>IF(OR(COUNTA(tblPayrollIncrementalSpend2[[#This Row],[Job Title]:[Hire Date]])&gt;0,AND(ROW()=ROW(G20),tblPayrollIncrementalSpend2[[#This Row],[Base Salary]]&lt;&gt;"")),N(tblPayrollIncrementalSpend2[[#This Row],[Base Salary]])*'Base - Payroll'!$E$12,"")</f>
        <v/>
      </c>
      <c r="K20" s="60" t="str">
        <f>IF(OR(COUNTA(tblPayrollIncrementalSpend2[[#This Row],[Job Title]:[Hire Date]])&gt;0,AND(ROW()=ROW(G20),tblPayrollIncrementalSpend2[[#This Row],[Base Salary]]&lt;&gt;"")),N(tblPayrollIncrementalSpend2[[#This Row],[Base Salary]])*'Base - Payroll'!$E$13,"")</f>
        <v/>
      </c>
      <c r="L20" s="60" t="str">
        <f>IF(OR(COUNTA(tblPayrollIncrementalSpend2[[#This Row],[Job Title]:[Hire Date]])&gt;0,AND(ROW()=ROW(G20),tblPayrollIncrementalSpend2[[#This Row],[Base Salary]]&lt;&gt;"")),N(tblPayrollIncrementalSpend2[[#This Row],[Base Salary]])*'Base - Payroll'!$E$15,"")</f>
        <v/>
      </c>
      <c r="M20" s="60" t="str">
        <f>IF(OR(COUNTA(tblPayrollIncrementalSpend2[[#This Row],[Job Title]:[Hire Date]])&gt;0,AND(ROW()=ROW(G20),tblPayrollIncrementalSpend2[[#This Row],[Base Salary]]&lt;&gt;"")),N(tblPayrollIncrementalSpend2[[#This Row],[Base Salary]])*'Base - Payroll'!$E$16,"")</f>
        <v/>
      </c>
      <c r="N20" s="60" t="str">
        <f>IF(OR(COUNTA(tblPayrollIncrementalSpend2[[#This Row],[Job Title]:[Hire Date]])&gt;0,AND(ROW()=ROW(G20),tblPayrollIncrementalSpend2[[#This Row],[Base Salary]]&lt;&gt;"")),N(tblPayrollIncrementalSpend2[[#This Row],[Base Salary]])+SUM(tblPayrollIncrementalSpend2[[#This Row],[Bonus]:[Other]]),"")</f>
        <v/>
      </c>
      <c r="O20" s="60" t="str">
        <f t="shared" si="6"/>
        <v/>
      </c>
      <c r="P20" s="60" t="str">
        <f t="shared" si="6"/>
        <v/>
      </c>
      <c r="Q20" s="60" t="str">
        <f t="shared" si="6"/>
        <v/>
      </c>
      <c r="R20" s="60" t="str">
        <f t="shared" si="6"/>
        <v/>
      </c>
      <c r="S20" s="60" t="str">
        <f t="shared" si="6"/>
        <v/>
      </c>
      <c r="T20" s="60" t="str">
        <f t="shared" si="6"/>
        <v/>
      </c>
      <c r="U20" s="60" t="str">
        <f t="shared" si="6"/>
        <v/>
      </c>
      <c r="V20" s="60" t="str">
        <f t="shared" si="6"/>
        <v/>
      </c>
      <c r="W20" s="60" t="str">
        <f t="shared" si="6"/>
        <v/>
      </c>
      <c r="X20" s="60" t="str">
        <f t="shared" si="6"/>
        <v/>
      </c>
      <c r="Y20" s="60" t="str">
        <f t="shared" si="6"/>
        <v/>
      </c>
      <c r="Z20" s="60" t="str">
        <f t="shared" si="6"/>
        <v/>
      </c>
      <c r="AA20" s="60" t="str">
        <f t="shared" si="1"/>
        <v/>
      </c>
      <c r="AB20" s="60" t="str">
        <f t="shared" si="7"/>
        <v/>
      </c>
      <c r="AC20" s="60" t="str">
        <f t="shared" si="7"/>
        <v/>
      </c>
      <c r="AD20" s="60" t="str">
        <f t="shared" si="7"/>
        <v/>
      </c>
      <c r="AE20" s="60" t="str">
        <f t="shared" si="7"/>
        <v/>
      </c>
      <c r="AF20" s="60" t="str">
        <f t="shared" si="7"/>
        <v/>
      </c>
      <c r="AG20" s="60" t="str">
        <f t="shared" si="7"/>
        <v/>
      </c>
      <c r="AH20" s="60" t="str">
        <f t="shared" si="7"/>
        <v/>
      </c>
      <c r="AI20" s="60" t="str">
        <f t="shared" si="7"/>
        <v/>
      </c>
      <c r="AJ20" s="60" t="str">
        <f t="shared" si="7"/>
        <v/>
      </c>
      <c r="AK20" s="60" t="str">
        <f t="shared" si="7"/>
        <v/>
      </c>
      <c r="AL20" s="60" t="str">
        <f t="shared" si="7"/>
        <v/>
      </c>
      <c r="AM20" s="60" t="str">
        <f t="shared" si="7"/>
        <v/>
      </c>
      <c r="AN20" s="60" t="str">
        <f t="shared" si="3"/>
        <v/>
      </c>
      <c r="AO20" s="60" t="str">
        <f t="shared" si="8"/>
        <v/>
      </c>
      <c r="AP20" s="60" t="str">
        <f t="shared" si="8"/>
        <v/>
      </c>
      <c r="AQ20" s="60" t="str">
        <f t="shared" si="8"/>
        <v/>
      </c>
      <c r="AR20" s="60" t="str">
        <f t="shared" si="8"/>
        <v/>
      </c>
      <c r="AS20" s="60" t="str">
        <f t="shared" si="8"/>
        <v/>
      </c>
      <c r="AT20" s="60" t="str">
        <f t="shared" si="8"/>
        <v/>
      </c>
      <c r="AU20" s="60" t="str">
        <f t="shared" si="8"/>
        <v/>
      </c>
      <c r="AV20" s="60" t="str">
        <f t="shared" si="8"/>
        <v/>
      </c>
      <c r="AW20" s="60" t="str">
        <f t="shared" si="8"/>
        <v/>
      </c>
      <c r="AX20" s="60" t="str">
        <f t="shared" si="8"/>
        <v/>
      </c>
      <c r="AY20" s="60" t="str">
        <f t="shared" si="8"/>
        <v/>
      </c>
      <c r="AZ20" s="60" t="str">
        <f t="shared" si="8"/>
        <v/>
      </c>
      <c r="BA20" s="60" t="str">
        <f t="shared" si="5"/>
        <v/>
      </c>
      <c r="BB20" s="43"/>
      <c r="BC20" s="38"/>
    </row>
    <row r="21" spans="1:55" x14ac:dyDescent="0.35">
      <c r="A21" s="37"/>
      <c r="B21" s="37"/>
      <c r="C21" s="37"/>
      <c r="D21" s="37"/>
      <c r="E21" s="38"/>
      <c r="F21" s="38"/>
      <c r="G21" s="38"/>
      <c r="H21" s="38"/>
      <c r="I21" s="38"/>
      <c r="J21" s="38"/>
      <c r="K21" s="38"/>
      <c r="L21" s="38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8"/>
      <c r="BC21" s="38"/>
    </row>
    <row r="22" spans="1:55" ht="15" thickBot="1" x14ac:dyDescent="0.4">
      <c r="A22" s="45" t="s">
        <v>46</v>
      </c>
      <c r="B22" s="45"/>
      <c r="C22" s="45"/>
      <c r="D22" s="45"/>
      <c r="E22" s="46"/>
      <c r="F22" s="47"/>
      <c r="G22" s="46">
        <f>SUM(tblPayrollIncrementalSpend2[Base Salary])</f>
        <v>0</v>
      </c>
      <c r="H22" s="46"/>
      <c r="I22" s="46">
        <f>SUM(tblPayrollIncrementalSpend2[Bonus])</f>
        <v>0</v>
      </c>
      <c r="J22" s="46">
        <f>SUM(tblPayrollIncrementalSpend2[Payroll Taxes])</f>
        <v>0</v>
      </c>
      <c r="K22" s="46">
        <f>SUM(tblPayrollIncrementalSpend2[Benefits])</f>
        <v>0</v>
      </c>
      <c r="L22" s="46">
        <f>SUM(tblPayrollIncrementalSpend2[Vacation])</f>
        <v>0</v>
      </c>
      <c r="M22" s="46">
        <f>SUM(tblPayrollIncrementalSpend2[Other])</f>
        <v>0</v>
      </c>
      <c r="N22" s="46">
        <f>SUM(tblPayrollIncrementalSpend2[Annualized Spend])</f>
        <v>0</v>
      </c>
      <c r="O22" s="46">
        <f>SUM(tblPayrollIncrementalSpend2[Jan-27])</f>
        <v>0</v>
      </c>
      <c r="P22" s="46">
        <f>SUM(tblPayrollIncrementalSpend2[Feb-27])</f>
        <v>0</v>
      </c>
      <c r="Q22" s="46">
        <f>SUM(tblPayrollIncrementalSpend2[Mar-27])</f>
        <v>0</v>
      </c>
      <c r="R22" s="46">
        <f>SUM(tblPayrollIncrementalSpend2[Apr-27])</f>
        <v>0</v>
      </c>
      <c r="S22" s="46">
        <f>SUM(tblPayrollIncrementalSpend2[May-27])</f>
        <v>0</v>
      </c>
      <c r="T22" s="46">
        <f>SUM(tblPayrollIncrementalSpend2[Jun-27])</f>
        <v>0</v>
      </c>
      <c r="U22" s="46">
        <f>SUM(tblPayrollIncrementalSpend2[Jul-27])</f>
        <v>0</v>
      </c>
      <c r="V22" s="46">
        <f>SUM(tblPayrollIncrementalSpend2[Aug-27])</f>
        <v>0</v>
      </c>
      <c r="W22" s="46">
        <f>SUM(tblPayrollIncrementalSpend2[Sep-27])</f>
        <v>0</v>
      </c>
      <c r="X22" s="46">
        <f>SUM(tblPayrollIncrementalSpend2[Oct-27])</f>
        <v>0</v>
      </c>
      <c r="Y22" s="46">
        <f>SUM(tblPayrollIncrementalSpend2[Nov-27])</f>
        <v>0</v>
      </c>
      <c r="Z22" s="46">
        <f>SUM(tblPayrollIncrementalSpend2[Dec-27])</f>
        <v>0</v>
      </c>
      <c r="AA22" s="46">
        <f>SUM(tblPayrollIncrementalSpend2[2027 Incremental Spend])</f>
        <v>0</v>
      </c>
      <c r="AB22" s="46">
        <f>SUM(tblPayrollIncrementalSpend2[Jan-28])</f>
        <v>0</v>
      </c>
      <c r="AC22" s="46">
        <f>SUM(tblPayrollIncrementalSpend2[Feb-28])</f>
        <v>0</v>
      </c>
      <c r="AD22" s="46">
        <f>SUM(tblPayrollIncrementalSpend2[Mar-28])</f>
        <v>0</v>
      </c>
      <c r="AE22" s="46">
        <f>SUM(tblPayrollIncrementalSpend2[Apr-28])</f>
        <v>0</v>
      </c>
      <c r="AF22" s="46">
        <f>SUM(tblPayrollIncrementalSpend2[May-28])</f>
        <v>0</v>
      </c>
      <c r="AG22" s="46">
        <f>SUM(tblPayrollIncrementalSpend2[Jun-28])</f>
        <v>0</v>
      </c>
      <c r="AH22" s="46">
        <f>SUM(tblPayrollIncrementalSpend2[Jul-28])</f>
        <v>0</v>
      </c>
      <c r="AI22" s="46">
        <f>SUM(tblPayrollIncrementalSpend2[Aug-28])</f>
        <v>0</v>
      </c>
      <c r="AJ22" s="46">
        <f>SUM(tblPayrollIncrementalSpend2[Sep-28])</f>
        <v>0</v>
      </c>
      <c r="AK22" s="46">
        <f>SUM(tblPayrollIncrementalSpend2[Oct-28])</f>
        <v>0</v>
      </c>
      <c r="AL22" s="46">
        <f>SUM(tblPayrollIncrementalSpend2[Nov-28])</f>
        <v>0</v>
      </c>
      <c r="AM22" s="46">
        <f>SUM(tblPayrollIncrementalSpend2[Dec-28])</f>
        <v>0</v>
      </c>
      <c r="AN22" s="46">
        <f>SUM(tblPayrollIncrementalSpend2[2028 Incremental Spend])</f>
        <v>0</v>
      </c>
      <c r="AO22" s="46">
        <f>SUM(tblPayrollIncrementalSpend2[Jan-29])</f>
        <v>0</v>
      </c>
      <c r="AP22" s="46">
        <f>SUM(tblPayrollIncrementalSpend2[Feb-29])</f>
        <v>0</v>
      </c>
      <c r="AQ22" s="46">
        <f>SUM(tblPayrollIncrementalSpend2[Mar-29])</f>
        <v>0</v>
      </c>
      <c r="AR22" s="46">
        <f>SUM(tblPayrollIncrementalSpend2[Apr-29])</f>
        <v>0</v>
      </c>
      <c r="AS22" s="46">
        <f>SUM(tblPayrollIncrementalSpend2[May-29])</f>
        <v>0</v>
      </c>
      <c r="AT22" s="46">
        <f>SUM(tblPayrollIncrementalSpend2[Jun-29])</f>
        <v>0</v>
      </c>
      <c r="AU22" s="46">
        <f>SUM(tblPayrollIncrementalSpend2[Jul-29])</f>
        <v>0</v>
      </c>
      <c r="AV22" s="46">
        <f>SUM(tblPayrollIncrementalSpend2[Aug-29])</f>
        <v>0</v>
      </c>
      <c r="AW22" s="46">
        <f>SUM(tblPayrollIncrementalSpend2[Sep-29])</f>
        <v>0</v>
      </c>
      <c r="AX22" s="46">
        <f>SUM(tblPayrollIncrementalSpend2[Oct-29])</f>
        <v>0</v>
      </c>
      <c r="AY22" s="46">
        <f>SUM(tblPayrollIncrementalSpend2[Nov-29])</f>
        <v>0</v>
      </c>
      <c r="AZ22" s="46">
        <f>SUM(tblPayrollIncrementalSpend2[Dec-29])</f>
        <v>0</v>
      </c>
      <c r="BA22" s="46">
        <f>SUM(tblPayrollIncrementalSpend2[2029 Incremental Spend])</f>
        <v>0</v>
      </c>
      <c r="BB22" s="46"/>
      <c r="BC22" s="38"/>
    </row>
    <row r="23" spans="1:55" ht="15" thickTop="1" x14ac:dyDescent="0.35">
      <c r="A23" s="37"/>
      <c r="B23" s="37"/>
      <c r="C23" s="37"/>
      <c r="D23" s="37"/>
      <c r="E23" s="38"/>
      <c r="F23" s="38"/>
      <c r="G23" s="38"/>
      <c r="H23" s="38"/>
      <c r="I23" s="38"/>
      <c r="J23" s="38"/>
      <c r="K23" s="38"/>
      <c r="L23" s="38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8"/>
    </row>
    <row r="24" spans="1:55" x14ac:dyDescent="0.35">
      <c r="A24" s="37"/>
      <c r="B24" s="37"/>
      <c r="C24" s="37"/>
      <c r="D24" s="37"/>
      <c r="E24" s="38"/>
      <c r="F24" s="38"/>
      <c r="G24" s="38"/>
      <c r="H24" s="38"/>
      <c r="I24" s="38"/>
      <c r="J24" s="38"/>
      <c r="K24" s="38"/>
      <c r="L24" s="38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8"/>
    </row>
    <row r="25" spans="1:55" x14ac:dyDescent="0.35">
      <c r="A25" s="37"/>
      <c r="B25" s="37"/>
      <c r="C25" s="37"/>
      <c r="D25" s="37"/>
      <c r="E25" s="38"/>
      <c r="F25" s="38"/>
      <c r="G25" s="37"/>
      <c r="H25" s="38"/>
      <c r="I25" s="38"/>
      <c r="J25" s="38"/>
      <c r="K25" s="38"/>
      <c r="L25" s="38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</row>
    <row r="26" spans="1:55" s="5" customFormat="1" x14ac:dyDescent="0.35">
      <c r="A26" s="72" t="s">
        <v>77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37"/>
      <c r="AT26" s="37"/>
      <c r="AU26" s="37"/>
      <c r="AV26" s="37"/>
      <c r="AW26" s="37"/>
      <c r="AX26" s="37"/>
      <c r="AY26" s="37"/>
      <c r="AZ26" s="37"/>
      <c r="BA26" s="37"/>
      <c r="BB26" s="38"/>
      <c r="BC26" s="40"/>
    </row>
    <row r="27" spans="1:55" x14ac:dyDescent="0.35">
      <c r="A27" s="39" t="s">
        <v>55</v>
      </c>
      <c r="B27" s="39" t="s">
        <v>54</v>
      </c>
      <c r="C27" s="39" t="s">
        <v>56</v>
      </c>
      <c r="D27" s="39" t="s">
        <v>157</v>
      </c>
      <c r="E27" s="61" t="s">
        <v>121</v>
      </c>
      <c r="F27" s="61" t="s">
        <v>122</v>
      </c>
      <c r="G27" s="61" t="s">
        <v>123</v>
      </c>
      <c r="H27" s="61" t="s">
        <v>124</v>
      </c>
      <c r="I27" s="61" t="s">
        <v>125</v>
      </c>
      <c r="J27" s="61" t="s">
        <v>126</v>
      </c>
      <c r="K27" s="61" t="s">
        <v>127</v>
      </c>
      <c r="L27" s="61" t="s">
        <v>128</v>
      </c>
      <c r="M27" s="61" t="s">
        <v>129</v>
      </c>
      <c r="N27" s="61" t="s">
        <v>130</v>
      </c>
      <c r="O27" s="61" t="s">
        <v>131</v>
      </c>
      <c r="P27" s="61" t="s">
        <v>132</v>
      </c>
      <c r="Q27" s="61" t="s">
        <v>37</v>
      </c>
      <c r="R27" s="61" t="s">
        <v>134</v>
      </c>
      <c r="S27" s="61" t="s">
        <v>135</v>
      </c>
      <c r="T27" s="61" t="s">
        <v>136</v>
      </c>
      <c r="U27" s="61" t="s">
        <v>137</v>
      </c>
      <c r="V27" s="61" t="s">
        <v>138</v>
      </c>
      <c r="W27" s="61" t="s">
        <v>139</v>
      </c>
      <c r="X27" s="61" t="s">
        <v>140</v>
      </c>
      <c r="Y27" s="61" t="s">
        <v>141</v>
      </c>
      <c r="Z27" s="61" t="s">
        <v>142</v>
      </c>
      <c r="AA27" s="61" t="s">
        <v>143</v>
      </c>
      <c r="AB27" s="61" t="s">
        <v>144</v>
      </c>
      <c r="AC27" s="61" t="s">
        <v>133</v>
      </c>
      <c r="AD27" s="61" t="s">
        <v>119</v>
      </c>
      <c r="AE27" s="61" t="s">
        <v>145</v>
      </c>
      <c r="AF27" s="61" t="s">
        <v>146</v>
      </c>
      <c r="AG27" s="61" t="s">
        <v>147</v>
      </c>
      <c r="AH27" s="61" t="s">
        <v>148</v>
      </c>
      <c r="AI27" s="61" t="s">
        <v>149</v>
      </c>
      <c r="AJ27" s="61" t="s">
        <v>150</v>
      </c>
      <c r="AK27" s="61" t="s">
        <v>151</v>
      </c>
      <c r="AL27" s="61" t="s">
        <v>152</v>
      </c>
      <c r="AM27" s="61" t="s">
        <v>153</v>
      </c>
      <c r="AN27" s="61" t="s">
        <v>154</v>
      </c>
      <c r="AO27" s="61" t="s">
        <v>155</v>
      </c>
      <c r="AP27" s="61" t="s">
        <v>156</v>
      </c>
      <c r="AQ27" s="61" t="s">
        <v>120</v>
      </c>
      <c r="AR27" s="39" t="s">
        <v>38</v>
      </c>
      <c r="AS27" s="70"/>
      <c r="AT27" s="70"/>
      <c r="AU27" s="70"/>
      <c r="AV27" s="70"/>
      <c r="AW27" s="70"/>
      <c r="AX27" s="70"/>
      <c r="AY27" s="70"/>
      <c r="AZ27" s="70"/>
      <c r="BA27" s="40"/>
      <c r="BB27" s="40"/>
      <c r="BC27" s="37"/>
    </row>
    <row r="28" spans="1:55" x14ac:dyDescent="0.35">
      <c r="A28" s="41"/>
      <c r="B28" s="41"/>
      <c r="C28" s="41"/>
      <c r="D28" s="41"/>
      <c r="E28" s="43" t="str">
        <f t="shared" ref="E28:E42" si="9">IF(OR(COUNTA($A28:$C28)&gt;0,$D28&lt;&gt;""),N($D28)/12,"")</f>
        <v/>
      </c>
      <c r="F28" s="41" t="str">
        <f t="shared" ref="F28:F42" si="10">IF(OR(COUNTA($A28:$C28)&gt;0,$D28&lt;&gt;""),N($D28)/12,"")</f>
        <v/>
      </c>
      <c r="G28" s="41" t="str">
        <f t="shared" ref="G28:P42" si="11">IF(OR(COUNTA($A28:$C28)&gt;0,$D28&lt;&gt;""),N($D28)/12,"")</f>
        <v/>
      </c>
      <c r="H28" s="41" t="str">
        <f t="shared" si="11"/>
        <v/>
      </c>
      <c r="I28" s="62" t="str">
        <f t="shared" si="11"/>
        <v/>
      </c>
      <c r="J28" s="62" t="str">
        <f t="shared" si="11"/>
        <v/>
      </c>
      <c r="K28" s="62" t="str">
        <f t="shared" si="11"/>
        <v/>
      </c>
      <c r="L28" s="41" t="str">
        <f t="shared" si="11"/>
        <v/>
      </c>
      <c r="M28" s="41" t="str">
        <f t="shared" si="11"/>
        <v/>
      </c>
      <c r="N28" s="41" t="str">
        <f t="shared" si="11"/>
        <v/>
      </c>
      <c r="O28" s="41" t="str">
        <f t="shared" si="11"/>
        <v/>
      </c>
      <c r="P28" s="41" t="str">
        <f t="shared" si="11"/>
        <v/>
      </c>
      <c r="Q28" s="41" t="str">
        <f t="shared" ref="Q28:Q42" si="12">IF(OR(COUNTA($A28:$C28)&gt;0,$D28&lt;&gt;""),SUM(E28:P28),"")</f>
        <v/>
      </c>
      <c r="R28" s="41" t="str">
        <f t="shared" ref="R28:AC42" si="13">IF(OR(COUNTA($A28:$C28)&gt;0,$D28&lt;&gt;""),N($D28)/12,"")</f>
        <v/>
      </c>
      <c r="S28" s="41" t="str">
        <f t="shared" si="13"/>
        <v/>
      </c>
      <c r="T28" s="41" t="str">
        <f t="shared" si="13"/>
        <v/>
      </c>
      <c r="U28" s="41" t="str">
        <f t="shared" si="13"/>
        <v/>
      </c>
      <c r="V28" s="41" t="str">
        <f t="shared" si="13"/>
        <v/>
      </c>
      <c r="W28" s="41" t="str">
        <f t="shared" si="13"/>
        <v/>
      </c>
      <c r="X28" s="41" t="str">
        <f t="shared" si="13"/>
        <v/>
      </c>
      <c r="Y28" s="41" t="str">
        <f t="shared" si="13"/>
        <v/>
      </c>
      <c r="Z28" s="41" t="str">
        <f t="shared" si="13"/>
        <v/>
      </c>
      <c r="AA28" s="41" t="str">
        <f t="shared" si="13"/>
        <v/>
      </c>
      <c r="AB28" s="41" t="str">
        <f t="shared" si="13"/>
        <v/>
      </c>
      <c r="AC28" s="41" t="str">
        <f t="shared" si="13"/>
        <v/>
      </c>
      <c r="AD28" s="41" t="str">
        <f t="shared" ref="AD28:AD42" si="14">IF(OR(COUNTA($A28:$C28)&gt;0,$D28&lt;&gt;""),SUM(R28:AC28),"")</f>
        <v/>
      </c>
      <c r="AE28" s="41" t="str">
        <f t="shared" ref="AE28:AP42" si="15">IF(OR(COUNTA($A28:$C28)&gt;0,$D28&lt;&gt;""),N($D28)/12,"")</f>
        <v/>
      </c>
      <c r="AF28" s="41" t="str">
        <f t="shared" si="15"/>
        <v/>
      </c>
      <c r="AG28" s="41" t="str">
        <f t="shared" si="15"/>
        <v/>
      </c>
      <c r="AH28" s="41" t="str">
        <f t="shared" si="15"/>
        <v/>
      </c>
      <c r="AI28" s="41" t="str">
        <f t="shared" si="15"/>
        <v/>
      </c>
      <c r="AJ28" s="41" t="str">
        <f t="shared" si="15"/>
        <v/>
      </c>
      <c r="AK28" s="41" t="str">
        <f t="shared" si="15"/>
        <v/>
      </c>
      <c r="AL28" s="41" t="str">
        <f t="shared" si="15"/>
        <v/>
      </c>
      <c r="AM28" s="41" t="str">
        <f t="shared" si="15"/>
        <v/>
      </c>
      <c r="AN28" s="41" t="str">
        <f t="shared" si="15"/>
        <v/>
      </c>
      <c r="AO28" s="41" t="str">
        <f t="shared" si="15"/>
        <v/>
      </c>
      <c r="AP28" s="41" t="str">
        <f t="shared" si="15"/>
        <v/>
      </c>
      <c r="AQ28" s="41" t="str">
        <f t="shared" ref="AQ28:AQ42" si="16">IF(OR(COUNTA($A28:$C28)&gt;0,$D28&lt;&gt;""),SUM(AE28:AP28),"")</f>
        <v/>
      </c>
      <c r="AR28" s="41"/>
      <c r="AS28" s="41"/>
      <c r="AT28" s="41"/>
      <c r="AU28" s="41"/>
      <c r="AV28" s="41"/>
      <c r="AW28" s="41"/>
      <c r="AX28" s="41"/>
      <c r="AY28" s="41"/>
      <c r="AZ28" s="41"/>
      <c r="BA28" s="37"/>
      <c r="BB28" s="38"/>
      <c r="BC28" s="37"/>
    </row>
    <row r="29" spans="1:55" x14ac:dyDescent="0.35">
      <c r="A29" s="41"/>
      <c r="B29" s="41"/>
      <c r="C29" s="41"/>
      <c r="D29" s="41"/>
      <c r="E29" s="43" t="str">
        <f t="shared" si="9"/>
        <v/>
      </c>
      <c r="F29" s="41" t="str">
        <f t="shared" si="10"/>
        <v/>
      </c>
      <c r="G29" s="41" t="str">
        <f t="shared" si="11"/>
        <v/>
      </c>
      <c r="H29" s="41" t="str">
        <f t="shared" si="11"/>
        <v/>
      </c>
      <c r="I29" s="62" t="str">
        <f t="shared" si="11"/>
        <v/>
      </c>
      <c r="J29" s="62" t="str">
        <f t="shared" si="11"/>
        <v/>
      </c>
      <c r="K29" s="62" t="str">
        <f t="shared" si="11"/>
        <v/>
      </c>
      <c r="L29" s="41" t="str">
        <f t="shared" si="11"/>
        <v/>
      </c>
      <c r="M29" s="41" t="str">
        <f t="shared" si="11"/>
        <v/>
      </c>
      <c r="N29" s="41" t="str">
        <f t="shared" si="11"/>
        <v/>
      </c>
      <c r="O29" s="41" t="str">
        <f t="shared" si="11"/>
        <v/>
      </c>
      <c r="P29" s="41" t="str">
        <f t="shared" si="11"/>
        <v/>
      </c>
      <c r="Q29" s="41" t="str">
        <f t="shared" si="12"/>
        <v/>
      </c>
      <c r="R29" s="41" t="str">
        <f t="shared" si="13"/>
        <v/>
      </c>
      <c r="S29" s="41" t="str">
        <f t="shared" si="13"/>
        <v/>
      </c>
      <c r="T29" s="41" t="str">
        <f t="shared" si="13"/>
        <v/>
      </c>
      <c r="U29" s="41" t="str">
        <f t="shared" si="13"/>
        <v/>
      </c>
      <c r="V29" s="41" t="str">
        <f t="shared" si="13"/>
        <v/>
      </c>
      <c r="W29" s="41" t="str">
        <f t="shared" si="13"/>
        <v/>
      </c>
      <c r="X29" s="41" t="str">
        <f t="shared" si="13"/>
        <v/>
      </c>
      <c r="Y29" s="41" t="str">
        <f t="shared" si="13"/>
        <v/>
      </c>
      <c r="Z29" s="41" t="str">
        <f t="shared" si="13"/>
        <v/>
      </c>
      <c r="AA29" s="41" t="str">
        <f t="shared" si="13"/>
        <v/>
      </c>
      <c r="AB29" s="41" t="str">
        <f t="shared" si="13"/>
        <v/>
      </c>
      <c r="AC29" s="41" t="str">
        <f t="shared" si="13"/>
        <v/>
      </c>
      <c r="AD29" s="41" t="str">
        <f t="shared" si="14"/>
        <v/>
      </c>
      <c r="AE29" s="41" t="str">
        <f t="shared" si="15"/>
        <v/>
      </c>
      <c r="AF29" s="41" t="str">
        <f t="shared" si="15"/>
        <v/>
      </c>
      <c r="AG29" s="41" t="str">
        <f t="shared" si="15"/>
        <v/>
      </c>
      <c r="AH29" s="41" t="str">
        <f t="shared" si="15"/>
        <v/>
      </c>
      <c r="AI29" s="41" t="str">
        <f t="shared" si="15"/>
        <v/>
      </c>
      <c r="AJ29" s="41" t="str">
        <f t="shared" si="15"/>
        <v/>
      </c>
      <c r="AK29" s="41" t="str">
        <f t="shared" si="15"/>
        <v/>
      </c>
      <c r="AL29" s="41" t="str">
        <f t="shared" si="15"/>
        <v/>
      </c>
      <c r="AM29" s="41" t="str">
        <f t="shared" si="15"/>
        <v/>
      </c>
      <c r="AN29" s="41" t="str">
        <f t="shared" si="15"/>
        <v/>
      </c>
      <c r="AO29" s="41" t="str">
        <f t="shared" si="15"/>
        <v/>
      </c>
      <c r="AP29" s="41" t="str">
        <f t="shared" si="15"/>
        <v/>
      </c>
      <c r="AQ29" s="41" t="str">
        <f t="shared" si="16"/>
        <v/>
      </c>
      <c r="AR29" s="41"/>
      <c r="AS29" s="41"/>
      <c r="AT29" s="41"/>
      <c r="AU29" s="41"/>
      <c r="AV29" s="41"/>
      <c r="AW29" s="41"/>
      <c r="AX29" s="41"/>
      <c r="AY29" s="41"/>
      <c r="AZ29" s="41"/>
      <c r="BA29" s="37"/>
      <c r="BB29" s="38"/>
      <c r="BC29" s="37"/>
    </row>
    <row r="30" spans="1:55" x14ac:dyDescent="0.35">
      <c r="A30" s="41"/>
      <c r="B30" s="41"/>
      <c r="C30" s="41"/>
      <c r="D30" s="41"/>
      <c r="E30" s="43" t="str">
        <f t="shared" si="9"/>
        <v/>
      </c>
      <c r="F30" s="41" t="str">
        <f t="shared" si="10"/>
        <v/>
      </c>
      <c r="G30" s="41" t="str">
        <f t="shared" si="11"/>
        <v/>
      </c>
      <c r="H30" s="41" t="str">
        <f t="shared" si="11"/>
        <v/>
      </c>
      <c r="I30" s="62" t="str">
        <f t="shared" si="11"/>
        <v/>
      </c>
      <c r="J30" s="62" t="str">
        <f t="shared" si="11"/>
        <v/>
      </c>
      <c r="K30" s="62" t="str">
        <f t="shared" si="11"/>
        <v/>
      </c>
      <c r="L30" s="41" t="str">
        <f t="shared" si="11"/>
        <v/>
      </c>
      <c r="M30" s="41" t="str">
        <f t="shared" si="11"/>
        <v/>
      </c>
      <c r="N30" s="41" t="str">
        <f t="shared" si="11"/>
        <v/>
      </c>
      <c r="O30" s="41" t="str">
        <f t="shared" si="11"/>
        <v/>
      </c>
      <c r="P30" s="41" t="str">
        <f t="shared" si="11"/>
        <v/>
      </c>
      <c r="Q30" s="41" t="str">
        <f t="shared" si="12"/>
        <v/>
      </c>
      <c r="R30" s="41" t="str">
        <f t="shared" si="13"/>
        <v/>
      </c>
      <c r="S30" s="41" t="str">
        <f t="shared" si="13"/>
        <v/>
      </c>
      <c r="T30" s="41" t="str">
        <f t="shared" si="13"/>
        <v/>
      </c>
      <c r="U30" s="41" t="str">
        <f t="shared" si="13"/>
        <v/>
      </c>
      <c r="V30" s="41" t="str">
        <f t="shared" si="13"/>
        <v/>
      </c>
      <c r="W30" s="41" t="str">
        <f t="shared" si="13"/>
        <v/>
      </c>
      <c r="X30" s="41" t="str">
        <f t="shared" si="13"/>
        <v/>
      </c>
      <c r="Y30" s="41" t="str">
        <f t="shared" si="13"/>
        <v/>
      </c>
      <c r="Z30" s="41" t="str">
        <f t="shared" si="13"/>
        <v/>
      </c>
      <c r="AA30" s="41" t="str">
        <f t="shared" si="13"/>
        <v/>
      </c>
      <c r="AB30" s="41" t="str">
        <f t="shared" si="13"/>
        <v/>
      </c>
      <c r="AC30" s="41" t="str">
        <f t="shared" si="13"/>
        <v/>
      </c>
      <c r="AD30" s="41" t="str">
        <f t="shared" si="14"/>
        <v/>
      </c>
      <c r="AE30" s="41" t="str">
        <f t="shared" si="15"/>
        <v/>
      </c>
      <c r="AF30" s="41" t="str">
        <f t="shared" si="15"/>
        <v/>
      </c>
      <c r="AG30" s="41" t="str">
        <f t="shared" si="15"/>
        <v/>
      </c>
      <c r="AH30" s="41" t="str">
        <f t="shared" si="15"/>
        <v/>
      </c>
      <c r="AI30" s="41" t="str">
        <f t="shared" si="15"/>
        <v/>
      </c>
      <c r="AJ30" s="41" t="str">
        <f t="shared" si="15"/>
        <v/>
      </c>
      <c r="AK30" s="41" t="str">
        <f t="shared" si="15"/>
        <v/>
      </c>
      <c r="AL30" s="41" t="str">
        <f t="shared" si="15"/>
        <v/>
      </c>
      <c r="AM30" s="41" t="str">
        <f t="shared" si="15"/>
        <v/>
      </c>
      <c r="AN30" s="41" t="str">
        <f t="shared" si="15"/>
        <v/>
      </c>
      <c r="AO30" s="41" t="str">
        <f t="shared" si="15"/>
        <v/>
      </c>
      <c r="AP30" s="41" t="str">
        <f t="shared" si="15"/>
        <v/>
      </c>
      <c r="AQ30" s="41" t="str">
        <f t="shared" si="16"/>
        <v/>
      </c>
      <c r="AR30" s="41"/>
      <c r="AS30" s="41"/>
      <c r="AT30" s="41"/>
      <c r="AU30" s="41"/>
      <c r="AV30" s="41"/>
      <c r="AW30" s="41"/>
      <c r="AX30" s="41"/>
      <c r="AY30" s="41"/>
      <c r="AZ30" s="41"/>
      <c r="BA30" s="37"/>
      <c r="BB30" s="38"/>
      <c r="BC30" s="37"/>
    </row>
    <row r="31" spans="1:55" x14ac:dyDescent="0.35">
      <c r="A31" s="41"/>
      <c r="B31" s="41"/>
      <c r="C31" s="41"/>
      <c r="D31" s="41"/>
      <c r="E31" s="43" t="str">
        <f t="shared" si="9"/>
        <v/>
      </c>
      <c r="F31" s="41" t="str">
        <f t="shared" si="10"/>
        <v/>
      </c>
      <c r="G31" s="41" t="str">
        <f t="shared" si="11"/>
        <v/>
      </c>
      <c r="H31" s="41" t="str">
        <f t="shared" si="11"/>
        <v/>
      </c>
      <c r="I31" s="62" t="str">
        <f t="shared" si="11"/>
        <v/>
      </c>
      <c r="J31" s="62" t="str">
        <f t="shared" si="11"/>
        <v/>
      </c>
      <c r="K31" s="62" t="str">
        <f t="shared" si="11"/>
        <v/>
      </c>
      <c r="L31" s="41" t="str">
        <f t="shared" si="11"/>
        <v/>
      </c>
      <c r="M31" s="41" t="str">
        <f t="shared" si="11"/>
        <v/>
      </c>
      <c r="N31" s="41" t="str">
        <f t="shared" si="11"/>
        <v/>
      </c>
      <c r="O31" s="41" t="str">
        <f t="shared" si="11"/>
        <v/>
      </c>
      <c r="P31" s="41" t="str">
        <f t="shared" si="11"/>
        <v/>
      </c>
      <c r="Q31" s="41" t="str">
        <f t="shared" si="12"/>
        <v/>
      </c>
      <c r="R31" s="41" t="str">
        <f t="shared" si="13"/>
        <v/>
      </c>
      <c r="S31" s="41" t="str">
        <f t="shared" si="13"/>
        <v/>
      </c>
      <c r="T31" s="41" t="str">
        <f t="shared" si="13"/>
        <v/>
      </c>
      <c r="U31" s="41" t="str">
        <f t="shared" si="13"/>
        <v/>
      </c>
      <c r="V31" s="41" t="str">
        <f t="shared" si="13"/>
        <v/>
      </c>
      <c r="W31" s="41" t="str">
        <f t="shared" si="13"/>
        <v/>
      </c>
      <c r="X31" s="41" t="str">
        <f t="shared" si="13"/>
        <v/>
      </c>
      <c r="Y31" s="41" t="str">
        <f t="shared" si="13"/>
        <v/>
      </c>
      <c r="Z31" s="41" t="str">
        <f t="shared" si="13"/>
        <v/>
      </c>
      <c r="AA31" s="41" t="str">
        <f t="shared" si="13"/>
        <v/>
      </c>
      <c r="AB31" s="41" t="str">
        <f t="shared" si="13"/>
        <v/>
      </c>
      <c r="AC31" s="41" t="str">
        <f t="shared" si="13"/>
        <v/>
      </c>
      <c r="AD31" s="41" t="str">
        <f t="shared" si="14"/>
        <v/>
      </c>
      <c r="AE31" s="41" t="str">
        <f t="shared" si="15"/>
        <v/>
      </c>
      <c r="AF31" s="41" t="str">
        <f t="shared" si="15"/>
        <v/>
      </c>
      <c r="AG31" s="41" t="str">
        <f t="shared" si="15"/>
        <v/>
      </c>
      <c r="AH31" s="41" t="str">
        <f t="shared" si="15"/>
        <v/>
      </c>
      <c r="AI31" s="41" t="str">
        <f t="shared" si="15"/>
        <v/>
      </c>
      <c r="AJ31" s="41" t="str">
        <f t="shared" si="15"/>
        <v/>
      </c>
      <c r="AK31" s="41" t="str">
        <f t="shared" si="15"/>
        <v/>
      </c>
      <c r="AL31" s="41" t="str">
        <f t="shared" si="15"/>
        <v/>
      </c>
      <c r="AM31" s="41" t="str">
        <f t="shared" si="15"/>
        <v/>
      </c>
      <c r="AN31" s="41" t="str">
        <f t="shared" si="15"/>
        <v/>
      </c>
      <c r="AO31" s="41" t="str">
        <f t="shared" si="15"/>
        <v/>
      </c>
      <c r="AP31" s="41" t="str">
        <f t="shared" si="15"/>
        <v/>
      </c>
      <c r="AQ31" s="41" t="str">
        <f t="shared" si="16"/>
        <v/>
      </c>
      <c r="AR31" s="41"/>
      <c r="AS31" s="41"/>
      <c r="AT31" s="41"/>
      <c r="AU31" s="41"/>
      <c r="AV31" s="41"/>
      <c r="AW31" s="41"/>
      <c r="AX31" s="41"/>
      <c r="AY31" s="41"/>
      <c r="AZ31" s="41"/>
      <c r="BA31" s="37"/>
      <c r="BB31" s="38"/>
      <c r="BC31" s="37"/>
    </row>
    <row r="32" spans="1:55" x14ac:dyDescent="0.35">
      <c r="A32" s="41"/>
      <c r="B32" s="41"/>
      <c r="C32" s="41"/>
      <c r="D32" s="41"/>
      <c r="E32" s="43" t="str">
        <f t="shared" si="9"/>
        <v/>
      </c>
      <c r="F32" s="41" t="str">
        <f t="shared" si="10"/>
        <v/>
      </c>
      <c r="G32" s="41" t="str">
        <f t="shared" si="11"/>
        <v/>
      </c>
      <c r="H32" s="41" t="str">
        <f t="shared" si="11"/>
        <v/>
      </c>
      <c r="I32" s="62" t="str">
        <f t="shared" si="11"/>
        <v/>
      </c>
      <c r="J32" s="62" t="str">
        <f t="shared" si="11"/>
        <v/>
      </c>
      <c r="K32" s="62" t="str">
        <f t="shared" si="11"/>
        <v/>
      </c>
      <c r="L32" s="41" t="str">
        <f t="shared" si="11"/>
        <v/>
      </c>
      <c r="M32" s="41" t="str">
        <f t="shared" si="11"/>
        <v/>
      </c>
      <c r="N32" s="41" t="str">
        <f t="shared" si="11"/>
        <v/>
      </c>
      <c r="O32" s="41" t="str">
        <f t="shared" si="11"/>
        <v/>
      </c>
      <c r="P32" s="41" t="str">
        <f t="shared" si="11"/>
        <v/>
      </c>
      <c r="Q32" s="41" t="str">
        <f t="shared" si="12"/>
        <v/>
      </c>
      <c r="R32" s="41" t="str">
        <f t="shared" si="13"/>
        <v/>
      </c>
      <c r="S32" s="41" t="str">
        <f t="shared" si="13"/>
        <v/>
      </c>
      <c r="T32" s="41" t="str">
        <f t="shared" si="13"/>
        <v/>
      </c>
      <c r="U32" s="41" t="str">
        <f t="shared" si="13"/>
        <v/>
      </c>
      <c r="V32" s="41" t="str">
        <f t="shared" si="13"/>
        <v/>
      </c>
      <c r="W32" s="41" t="str">
        <f t="shared" si="13"/>
        <v/>
      </c>
      <c r="X32" s="41" t="str">
        <f t="shared" si="13"/>
        <v/>
      </c>
      <c r="Y32" s="41" t="str">
        <f t="shared" si="13"/>
        <v/>
      </c>
      <c r="Z32" s="41" t="str">
        <f t="shared" si="13"/>
        <v/>
      </c>
      <c r="AA32" s="41" t="str">
        <f t="shared" si="13"/>
        <v/>
      </c>
      <c r="AB32" s="41" t="str">
        <f t="shared" si="13"/>
        <v/>
      </c>
      <c r="AC32" s="41" t="str">
        <f t="shared" si="13"/>
        <v/>
      </c>
      <c r="AD32" s="41" t="str">
        <f t="shared" si="14"/>
        <v/>
      </c>
      <c r="AE32" s="41" t="str">
        <f t="shared" si="15"/>
        <v/>
      </c>
      <c r="AF32" s="41" t="str">
        <f t="shared" si="15"/>
        <v/>
      </c>
      <c r="AG32" s="41" t="str">
        <f t="shared" si="15"/>
        <v/>
      </c>
      <c r="AH32" s="41" t="str">
        <f t="shared" si="15"/>
        <v/>
      </c>
      <c r="AI32" s="41" t="str">
        <f t="shared" si="15"/>
        <v/>
      </c>
      <c r="AJ32" s="41" t="str">
        <f t="shared" si="15"/>
        <v/>
      </c>
      <c r="AK32" s="41" t="str">
        <f t="shared" si="15"/>
        <v/>
      </c>
      <c r="AL32" s="41" t="str">
        <f t="shared" si="15"/>
        <v/>
      </c>
      <c r="AM32" s="41" t="str">
        <f t="shared" si="15"/>
        <v/>
      </c>
      <c r="AN32" s="41" t="str">
        <f t="shared" si="15"/>
        <v/>
      </c>
      <c r="AO32" s="41" t="str">
        <f t="shared" si="15"/>
        <v/>
      </c>
      <c r="AP32" s="41" t="str">
        <f t="shared" si="15"/>
        <v/>
      </c>
      <c r="AQ32" s="41" t="str">
        <f t="shared" si="16"/>
        <v/>
      </c>
      <c r="AR32" s="41"/>
      <c r="AS32" s="41"/>
      <c r="AT32" s="41"/>
      <c r="AU32" s="41"/>
      <c r="AV32" s="41"/>
      <c r="AW32" s="41"/>
      <c r="AX32" s="41"/>
      <c r="AY32" s="41"/>
      <c r="AZ32" s="41"/>
      <c r="BA32" s="37"/>
      <c r="BB32" s="38"/>
      <c r="BC32" s="37"/>
    </row>
    <row r="33" spans="1:55" x14ac:dyDescent="0.35">
      <c r="A33" s="41"/>
      <c r="B33" s="41"/>
      <c r="C33" s="41"/>
      <c r="D33" s="41"/>
      <c r="E33" s="43" t="str">
        <f t="shared" si="9"/>
        <v/>
      </c>
      <c r="F33" s="41" t="str">
        <f t="shared" si="10"/>
        <v/>
      </c>
      <c r="G33" s="41" t="str">
        <f t="shared" si="11"/>
        <v/>
      </c>
      <c r="H33" s="41" t="str">
        <f t="shared" si="11"/>
        <v/>
      </c>
      <c r="I33" s="62" t="str">
        <f t="shared" si="11"/>
        <v/>
      </c>
      <c r="J33" s="62" t="str">
        <f t="shared" si="11"/>
        <v/>
      </c>
      <c r="K33" s="62" t="str">
        <f t="shared" si="11"/>
        <v/>
      </c>
      <c r="L33" s="41" t="str">
        <f t="shared" si="11"/>
        <v/>
      </c>
      <c r="M33" s="41" t="str">
        <f t="shared" si="11"/>
        <v/>
      </c>
      <c r="N33" s="41" t="str">
        <f t="shared" si="11"/>
        <v/>
      </c>
      <c r="O33" s="41" t="str">
        <f t="shared" si="11"/>
        <v/>
      </c>
      <c r="P33" s="41" t="str">
        <f t="shared" si="11"/>
        <v/>
      </c>
      <c r="Q33" s="41" t="str">
        <f t="shared" si="12"/>
        <v/>
      </c>
      <c r="R33" s="41" t="str">
        <f t="shared" si="13"/>
        <v/>
      </c>
      <c r="S33" s="41" t="str">
        <f t="shared" si="13"/>
        <v/>
      </c>
      <c r="T33" s="41" t="str">
        <f t="shared" si="13"/>
        <v/>
      </c>
      <c r="U33" s="41" t="str">
        <f t="shared" si="13"/>
        <v/>
      </c>
      <c r="V33" s="41" t="str">
        <f t="shared" si="13"/>
        <v/>
      </c>
      <c r="W33" s="41" t="str">
        <f t="shared" si="13"/>
        <v/>
      </c>
      <c r="X33" s="41" t="str">
        <f t="shared" si="13"/>
        <v/>
      </c>
      <c r="Y33" s="41" t="str">
        <f t="shared" si="13"/>
        <v/>
      </c>
      <c r="Z33" s="41" t="str">
        <f t="shared" si="13"/>
        <v/>
      </c>
      <c r="AA33" s="41" t="str">
        <f t="shared" si="13"/>
        <v/>
      </c>
      <c r="AB33" s="41" t="str">
        <f t="shared" si="13"/>
        <v/>
      </c>
      <c r="AC33" s="41" t="str">
        <f t="shared" si="13"/>
        <v/>
      </c>
      <c r="AD33" s="41" t="str">
        <f t="shared" si="14"/>
        <v/>
      </c>
      <c r="AE33" s="41" t="str">
        <f t="shared" si="15"/>
        <v/>
      </c>
      <c r="AF33" s="41" t="str">
        <f t="shared" si="15"/>
        <v/>
      </c>
      <c r="AG33" s="41" t="str">
        <f t="shared" si="15"/>
        <v/>
      </c>
      <c r="AH33" s="41" t="str">
        <f t="shared" si="15"/>
        <v/>
      </c>
      <c r="AI33" s="41" t="str">
        <f t="shared" si="15"/>
        <v/>
      </c>
      <c r="AJ33" s="41" t="str">
        <f t="shared" si="15"/>
        <v/>
      </c>
      <c r="AK33" s="41" t="str">
        <f t="shared" si="15"/>
        <v/>
      </c>
      <c r="AL33" s="41" t="str">
        <f t="shared" si="15"/>
        <v/>
      </c>
      <c r="AM33" s="41" t="str">
        <f t="shared" si="15"/>
        <v/>
      </c>
      <c r="AN33" s="41" t="str">
        <f t="shared" si="15"/>
        <v/>
      </c>
      <c r="AO33" s="41" t="str">
        <f t="shared" si="15"/>
        <v/>
      </c>
      <c r="AP33" s="41" t="str">
        <f t="shared" si="15"/>
        <v/>
      </c>
      <c r="AQ33" s="41" t="str">
        <f t="shared" si="16"/>
        <v/>
      </c>
      <c r="AR33" s="41"/>
      <c r="AS33" s="41"/>
      <c r="AT33" s="41"/>
      <c r="AU33" s="41"/>
      <c r="AV33" s="41"/>
      <c r="AW33" s="41"/>
      <c r="AX33" s="41"/>
      <c r="AY33" s="41"/>
      <c r="AZ33" s="41"/>
      <c r="BA33" s="37"/>
      <c r="BB33" s="38"/>
      <c r="BC33" s="37"/>
    </row>
    <row r="34" spans="1:55" x14ac:dyDescent="0.35">
      <c r="A34" s="41"/>
      <c r="B34" s="41"/>
      <c r="C34" s="41"/>
      <c r="D34" s="41"/>
      <c r="E34" s="43" t="str">
        <f t="shared" si="9"/>
        <v/>
      </c>
      <c r="F34" s="41" t="str">
        <f t="shared" si="10"/>
        <v/>
      </c>
      <c r="G34" s="41" t="str">
        <f t="shared" si="11"/>
        <v/>
      </c>
      <c r="H34" s="41" t="str">
        <f t="shared" si="11"/>
        <v/>
      </c>
      <c r="I34" s="62" t="str">
        <f t="shared" si="11"/>
        <v/>
      </c>
      <c r="J34" s="62" t="str">
        <f t="shared" si="11"/>
        <v/>
      </c>
      <c r="K34" s="62" t="str">
        <f t="shared" si="11"/>
        <v/>
      </c>
      <c r="L34" s="41" t="str">
        <f t="shared" si="11"/>
        <v/>
      </c>
      <c r="M34" s="41" t="str">
        <f t="shared" si="11"/>
        <v/>
      </c>
      <c r="N34" s="41" t="str">
        <f t="shared" si="11"/>
        <v/>
      </c>
      <c r="O34" s="41" t="str">
        <f t="shared" si="11"/>
        <v/>
      </c>
      <c r="P34" s="41" t="str">
        <f t="shared" si="11"/>
        <v/>
      </c>
      <c r="Q34" s="41" t="str">
        <f t="shared" si="12"/>
        <v/>
      </c>
      <c r="R34" s="41" t="str">
        <f t="shared" si="13"/>
        <v/>
      </c>
      <c r="S34" s="41" t="str">
        <f t="shared" si="13"/>
        <v/>
      </c>
      <c r="T34" s="41" t="str">
        <f t="shared" si="13"/>
        <v/>
      </c>
      <c r="U34" s="41" t="str">
        <f t="shared" si="13"/>
        <v/>
      </c>
      <c r="V34" s="41" t="str">
        <f t="shared" si="13"/>
        <v/>
      </c>
      <c r="W34" s="41" t="str">
        <f t="shared" si="13"/>
        <v/>
      </c>
      <c r="X34" s="41" t="str">
        <f t="shared" si="13"/>
        <v/>
      </c>
      <c r="Y34" s="41" t="str">
        <f t="shared" si="13"/>
        <v/>
      </c>
      <c r="Z34" s="41" t="str">
        <f t="shared" si="13"/>
        <v/>
      </c>
      <c r="AA34" s="41" t="str">
        <f t="shared" si="13"/>
        <v/>
      </c>
      <c r="AB34" s="41" t="str">
        <f t="shared" si="13"/>
        <v/>
      </c>
      <c r="AC34" s="41" t="str">
        <f t="shared" si="13"/>
        <v/>
      </c>
      <c r="AD34" s="41" t="str">
        <f t="shared" si="14"/>
        <v/>
      </c>
      <c r="AE34" s="41" t="str">
        <f t="shared" si="15"/>
        <v/>
      </c>
      <c r="AF34" s="41" t="str">
        <f t="shared" si="15"/>
        <v/>
      </c>
      <c r="AG34" s="41" t="str">
        <f t="shared" si="15"/>
        <v/>
      </c>
      <c r="AH34" s="41" t="str">
        <f t="shared" si="15"/>
        <v/>
      </c>
      <c r="AI34" s="41" t="str">
        <f t="shared" si="15"/>
        <v/>
      </c>
      <c r="AJ34" s="41" t="str">
        <f t="shared" si="15"/>
        <v/>
      </c>
      <c r="AK34" s="41" t="str">
        <f t="shared" si="15"/>
        <v/>
      </c>
      <c r="AL34" s="41" t="str">
        <f t="shared" si="15"/>
        <v/>
      </c>
      <c r="AM34" s="41" t="str">
        <f t="shared" si="15"/>
        <v/>
      </c>
      <c r="AN34" s="41" t="str">
        <f t="shared" si="15"/>
        <v/>
      </c>
      <c r="AO34" s="41" t="str">
        <f t="shared" si="15"/>
        <v/>
      </c>
      <c r="AP34" s="41" t="str">
        <f t="shared" si="15"/>
        <v/>
      </c>
      <c r="AQ34" s="41" t="str">
        <f t="shared" si="16"/>
        <v/>
      </c>
      <c r="AR34" s="41"/>
      <c r="AS34" s="41"/>
      <c r="AT34" s="41"/>
      <c r="AU34" s="41"/>
      <c r="AV34" s="41"/>
      <c r="AW34" s="41"/>
      <c r="AX34" s="41"/>
      <c r="AY34" s="41"/>
      <c r="AZ34" s="41"/>
      <c r="BA34" s="37"/>
      <c r="BB34" s="38"/>
      <c r="BC34" s="37"/>
    </row>
    <row r="35" spans="1:55" x14ac:dyDescent="0.35">
      <c r="A35" s="41"/>
      <c r="B35" s="41"/>
      <c r="C35" s="41"/>
      <c r="D35" s="41"/>
      <c r="E35" s="43" t="str">
        <f t="shared" si="9"/>
        <v/>
      </c>
      <c r="F35" s="41" t="str">
        <f t="shared" si="10"/>
        <v/>
      </c>
      <c r="G35" s="41" t="str">
        <f t="shared" si="11"/>
        <v/>
      </c>
      <c r="H35" s="41" t="str">
        <f t="shared" si="11"/>
        <v/>
      </c>
      <c r="I35" s="62" t="str">
        <f t="shared" si="11"/>
        <v/>
      </c>
      <c r="J35" s="62" t="str">
        <f t="shared" si="11"/>
        <v/>
      </c>
      <c r="K35" s="62" t="str">
        <f t="shared" si="11"/>
        <v/>
      </c>
      <c r="L35" s="41" t="str">
        <f t="shared" si="11"/>
        <v/>
      </c>
      <c r="M35" s="41" t="str">
        <f t="shared" si="11"/>
        <v/>
      </c>
      <c r="N35" s="41" t="str">
        <f t="shared" si="11"/>
        <v/>
      </c>
      <c r="O35" s="41" t="str">
        <f t="shared" si="11"/>
        <v/>
      </c>
      <c r="P35" s="41" t="str">
        <f t="shared" si="11"/>
        <v/>
      </c>
      <c r="Q35" s="41" t="str">
        <f t="shared" si="12"/>
        <v/>
      </c>
      <c r="R35" s="41" t="str">
        <f t="shared" si="13"/>
        <v/>
      </c>
      <c r="S35" s="41" t="str">
        <f t="shared" si="13"/>
        <v/>
      </c>
      <c r="T35" s="41" t="str">
        <f t="shared" si="13"/>
        <v/>
      </c>
      <c r="U35" s="41" t="str">
        <f t="shared" si="13"/>
        <v/>
      </c>
      <c r="V35" s="41" t="str">
        <f t="shared" si="13"/>
        <v/>
      </c>
      <c r="W35" s="41" t="str">
        <f t="shared" si="13"/>
        <v/>
      </c>
      <c r="X35" s="41" t="str">
        <f t="shared" si="13"/>
        <v/>
      </c>
      <c r="Y35" s="41" t="str">
        <f t="shared" si="13"/>
        <v/>
      </c>
      <c r="Z35" s="41" t="str">
        <f t="shared" si="13"/>
        <v/>
      </c>
      <c r="AA35" s="41" t="str">
        <f t="shared" si="13"/>
        <v/>
      </c>
      <c r="AB35" s="41" t="str">
        <f t="shared" si="13"/>
        <v/>
      </c>
      <c r="AC35" s="41" t="str">
        <f t="shared" si="13"/>
        <v/>
      </c>
      <c r="AD35" s="41" t="str">
        <f t="shared" si="14"/>
        <v/>
      </c>
      <c r="AE35" s="41" t="str">
        <f t="shared" si="15"/>
        <v/>
      </c>
      <c r="AF35" s="41" t="str">
        <f t="shared" si="15"/>
        <v/>
      </c>
      <c r="AG35" s="41" t="str">
        <f t="shared" si="15"/>
        <v/>
      </c>
      <c r="AH35" s="41" t="str">
        <f t="shared" si="15"/>
        <v/>
      </c>
      <c r="AI35" s="41" t="str">
        <f t="shared" si="15"/>
        <v/>
      </c>
      <c r="AJ35" s="41" t="str">
        <f t="shared" si="15"/>
        <v/>
      </c>
      <c r="AK35" s="41" t="str">
        <f t="shared" si="15"/>
        <v/>
      </c>
      <c r="AL35" s="41" t="str">
        <f t="shared" si="15"/>
        <v/>
      </c>
      <c r="AM35" s="41" t="str">
        <f t="shared" si="15"/>
        <v/>
      </c>
      <c r="AN35" s="41" t="str">
        <f t="shared" si="15"/>
        <v/>
      </c>
      <c r="AO35" s="41" t="str">
        <f t="shared" si="15"/>
        <v/>
      </c>
      <c r="AP35" s="41" t="str">
        <f t="shared" si="15"/>
        <v/>
      </c>
      <c r="AQ35" s="41" t="str">
        <f t="shared" si="16"/>
        <v/>
      </c>
      <c r="AR35" s="41"/>
      <c r="AS35" s="41"/>
      <c r="AT35" s="41"/>
      <c r="AU35" s="41"/>
      <c r="AV35" s="41"/>
      <c r="AW35" s="41"/>
      <c r="AX35" s="41"/>
      <c r="AY35" s="41"/>
      <c r="AZ35" s="41"/>
      <c r="BA35" s="37"/>
      <c r="BB35" s="38"/>
      <c r="BC35" s="37"/>
    </row>
    <row r="36" spans="1:55" x14ac:dyDescent="0.35">
      <c r="A36" s="41"/>
      <c r="B36" s="41"/>
      <c r="C36" s="41"/>
      <c r="D36" s="41"/>
      <c r="E36" s="43" t="str">
        <f t="shared" si="9"/>
        <v/>
      </c>
      <c r="F36" s="41" t="str">
        <f t="shared" si="10"/>
        <v/>
      </c>
      <c r="G36" s="41" t="str">
        <f t="shared" si="11"/>
        <v/>
      </c>
      <c r="H36" s="41" t="str">
        <f t="shared" si="11"/>
        <v/>
      </c>
      <c r="I36" s="62" t="str">
        <f t="shared" si="11"/>
        <v/>
      </c>
      <c r="J36" s="62" t="str">
        <f t="shared" si="11"/>
        <v/>
      </c>
      <c r="K36" s="62" t="str">
        <f t="shared" si="11"/>
        <v/>
      </c>
      <c r="L36" s="41" t="str">
        <f t="shared" si="11"/>
        <v/>
      </c>
      <c r="M36" s="41" t="str">
        <f t="shared" si="11"/>
        <v/>
      </c>
      <c r="N36" s="41" t="str">
        <f t="shared" si="11"/>
        <v/>
      </c>
      <c r="O36" s="41" t="str">
        <f t="shared" si="11"/>
        <v/>
      </c>
      <c r="P36" s="41" t="str">
        <f t="shared" si="11"/>
        <v/>
      </c>
      <c r="Q36" s="41" t="str">
        <f t="shared" si="12"/>
        <v/>
      </c>
      <c r="R36" s="41" t="str">
        <f t="shared" si="13"/>
        <v/>
      </c>
      <c r="S36" s="41" t="str">
        <f t="shared" si="13"/>
        <v/>
      </c>
      <c r="T36" s="41" t="str">
        <f t="shared" si="13"/>
        <v/>
      </c>
      <c r="U36" s="41" t="str">
        <f t="shared" si="13"/>
        <v/>
      </c>
      <c r="V36" s="41" t="str">
        <f t="shared" si="13"/>
        <v/>
      </c>
      <c r="W36" s="41" t="str">
        <f t="shared" si="13"/>
        <v/>
      </c>
      <c r="X36" s="41" t="str">
        <f t="shared" si="13"/>
        <v/>
      </c>
      <c r="Y36" s="41" t="str">
        <f t="shared" si="13"/>
        <v/>
      </c>
      <c r="Z36" s="41" t="str">
        <f t="shared" si="13"/>
        <v/>
      </c>
      <c r="AA36" s="41" t="str">
        <f t="shared" si="13"/>
        <v/>
      </c>
      <c r="AB36" s="41" t="str">
        <f t="shared" si="13"/>
        <v/>
      </c>
      <c r="AC36" s="41" t="str">
        <f t="shared" si="13"/>
        <v/>
      </c>
      <c r="AD36" s="41" t="str">
        <f t="shared" si="14"/>
        <v/>
      </c>
      <c r="AE36" s="41" t="str">
        <f t="shared" si="15"/>
        <v/>
      </c>
      <c r="AF36" s="41" t="str">
        <f t="shared" si="15"/>
        <v/>
      </c>
      <c r="AG36" s="41" t="str">
        <f t="shared" si="15"/>
        <v/>
      </c>
      <c r="AH36" s="41" t="str">
        <f t="shared" si="15"/>
        <v/>
      </c>
      <c r="AI36" s="41" t="str">
        <f t="shared" si="15"/>
        <v/>
      </c>
      <c r="AJ36" s="41" t="str">
        <f t="shared" si="15"/>
        <v/>
      </c>
      <c r="AK36" s="41" t="str">
        <f t="shared" si="15"/>
        <v/>
      </c>
      <c r="AL36" s="41" t="str">
        <f t="shared" si="15"/>
        <v/>
      </c>
      <c r="AM36" s="41" t="str">
        <f t="shared" si="15"/>
        <v/>
      </c>
      <c r="AN36" s="41" t="str">
        <f t="shared" si="15"/>
        <v/>
      </c>
      <c r="AO36" s="41" t="str">
        <f t="shared" si="15"/>
        <v/>
      </c>
      <c r="AP36" s="41" t="str">
        <f t="shared" si="15"/>
        <v/>
      </c>
      <c r="AQ36" s="41" t="str">
        <f t="shared" si="16"/>
        <v/>
      </c>
      <c r="AR36" s="41"/>
      <c r="AS36" s="41"/>
      <c r="AT36" s="41"/>
      <c r="AU36" s="41"/>
      <c r="AV36" s="41"/>
      <c r="AW36" s="41"/>
      <c r="AX36" s="41"/>
      <c r="AY36" s="41"/>
      <c r="AZ36" s="41"/>
      <c r="BA36" s="37"/>
      <c r="BB36" s="38"/>
      <c r="BC36" s="37"/>
    </row>
    <row r="37" spans="1:55" x14ac:dyDescent="0.35">
      <c r="A37" s="41"/>
      <c r="B37" s="41"/>
      <c r="C37" s="41"/>
      <c r="D37" s="41"/>
      <c r="E37" s="43" t="str">
        <f t="shared" si="9"/>
        <v/>
      </c>
      <c r="F37" s="41" t="str">
        <f t="shared" si="10"/>
        <v/>
      </c>
      <c r="G37" s="41" t="str">
        <f t="shared" si="11"/>
        <v/>
      </c>
      <c r="H37" s="41" t="str">
        <f t="shared" si="11"/>
        <v/>
      </c>
      <c r="I37" s="62" t="str">
        <f t="shared" si="11"/>
        <v/>
      </c>
      <c r="J37" s="62" t="str">
        <f t="shared" si="11"/>
        <v/>
      </c>
      <c r="K37" s="62" t="str">
        <f t="shared" si="11"/>
        <v/>
      </c>
      <c r="L37" s="41" t="str">
        <f t="shared" si="11"/>
        <v/>
      </c>
      <c r="M37" s="41" t="str">
        <f t="shared" si="11"/>
        <v/>
      </c>
      <c r="N37" s="41" t="str">
        <f t="shared" si="11"/>
        <v/>
      </c>
      <c r="O37" s="41" t="str">
        <f t="shared" si="11"/>
        <v/>
      </c>
      <c r="P37" s="41" t="str">
        <f t="shared" si="11"/>
        <v/>
      </c>
      <c r="Q37" s="41" t="str">
        <f t="shared" si="12"/>
        <v/>
      </c>
      <c r="R37" s="41" t="str">
        <f t="shared" si="13"/>
        <v/>
      </c>
      <c r="S37" s="41" t="str">
        <f t="shared" si="13"/>
        <v/>
      </c>
      <c r="T37" s="41" t="str">
        <f t="shared" si="13"/>
        <v/>
      </c>
      <c r="U37" s="41" t="str">
        <f t="shared" si="13"/>
        <v/>
      </c>
      <c r="V37" s="41" t="str">
        <f t="shared" si="13"/>
        <v/>
      </c>
      <c r="W37" s="41" t="str">
        <f t="shared" si="13"/>
        <v/>
      </c>
      <c r="X37" s="41" t="str">
        <f t="shared" si="13"/>
        <v/>
      </c>
      <c r="Y37" s="41" t="str">
        <f t="shared" si="13"/>
        <v/>
      </c>
      <c r="Z37" s="41" t="str">
        <f t="shared" si="13"/>
        <v/>
      </c>
      <c r="AA37" s="41" t="str">
        <f t="shared" si="13"/>
        <v/>
      </c>
      <c r="AB37" s="41" t="str">
        <f t="shared" si="13"/>
        <v/>
      </c>
      <c r="AC37" s="41" t="str">
        <f t="shared" si="13"/>
        <v/>
      </c>
      <c r="AD37" s="41" t="str">
        <f t="shared" si="14"/>
        <v/>
      </c>
      <c r="AE37" s="41" t="str">
        <f t="shared" si="15"/>
        <v/>
      </c>
      <c r="AF37" s="41" t="str">
        <f t="shared" si="15"/>
        <v/>
      </c>
      <c r="AG37" s="41" t="str">
        <f t="shared" si="15"/>
        <v/>
      </c>
      <c r="AH37" s="41" t="str">
        <f t="shared" si="15"/>
        <v/>
      </c>
      <c r="AI37" s="41" t="str">
        <f t="shared" si="15"/>
        <v/>
      </c>
      <c r="AJ37" s="41" t="str">
        <f t="shared" si="15"/>
        <v/>
      </c>
      <c r="AK37" s="41" t="str">
        <f t="shared" si="15"/>
        <v/>
      </c>
      <c r="AL37" s="41" t="str">
        <f t="shared" si="15"/>
        <v/>
      </c>
      <c r="AM37" s="41" t="str">
        <f t="shared" si="15"/>
        <v/>
      </c>
      <c r="AN37" s="41" t="str">
        <f t="shared" si="15"/>
        <v/>
      </c>
      <c r="AO37" s="41" t="str">
        <f t="shared" si="15"/>
        <v/>
      </c>
      <c r="AP37" s="41" t="str">
        <f t="shared" si="15"/>
        <v/>
      </c>
      <c r="AQ37" s="41" t="str">
        <f t="shared" si="16"/>
        <v/>
      </c>
      <c r="AR37" s="41"/>
      <c r="AS37" s="41"/>
      <c r="AT37" s="41"/>
      <c r="AU37" s="41"/>
      <c r="AV37" s="41"/>
      <c r="AW37" s="41"/>
      <c r="AX37" s="41"/>
      <c r="AY37" s="41"/>
      <c r="AZ37" s="41"/>
      <c r="BA37" s="37"/>
      <c r="BB37" s="38"/>
      <c r="BC37" s="37"/>
    </row>
    <row r="38" spans="1:55" x14ac:dyDescent="0.35">
      <c r="A38" s="41"/>
      <c r="B38" s="41"/>
      <c r="C38" s="41"/>
      <c r="D38" s="41"/>
      <c r="E38" s="43" t="str">
        <f t="shared" si="9"/>
        <v/>
      </c>
      <c r="F38" s="41" t="str">
        <f t="shared" si="10"/>
        <v/>
      </c>
      <c r="G38" s="41" t="str">
        <f t="shared" si="11"/>
        <v/>
      </c>
      <c r="H38" s="41" t="str">
        <f t="shared" si="11"/>
        <v/>
      </c>
      <c r="I38" s="62" t="str">
        <f t="shared" si="11"/>
        <v/>
      </c>
      <c r="J38" s="62" t="str">
        <f t="shared" si="11"/>
        <v/>
      </c>
      <c r="K38" s="62" t="str">
        <f t="shared" si="11"/>
        <v/>
      </c>
      <c r="L38" s="41" t="str">
        <f t="shared" si="11"/>
        <v/>
      </c>
      <c r="M38" s="41" t="str">
        <f t="shared" si="11"/>
        <v/>
      </c>
      <c r="N38" s="41" t="str">
        <f t="shared" si="11"/>
        <v/>
      </c>
      <c r="O38" s="41" t="str">
        <f t="shared" si="11"/>
        <v/>
      </c>
      <c r="P38" s="41" t="str">
        <f t="shared" si="11"/>
        <v/>
      </c>
      <c r="Q38" s="41" t="str">
        <f t="shared" si="12"/>
        <v/>
      </c>
      <c r="R38" s="41" t="str">
        <f t="shared" si="13"/>
        <v/>
      </c>
      <c r="S38" s="41" t="str">
        <f t="shared" si="13"/>
        <v/>
      </c>
      <c r="T38" s="41" t="str">
        <f t="shared" si="13"/>
        <v/>
      </c>
      <c r="U38" s="41" t="str">
        <f t="shared" si="13"/>
        <v/>
      </c>
      <c r="V38" s="41" t="str">
        <f t="shared" si="13"/>
        <v/>
      </c>
      <c r="W38" s="41" t="str">
        <f t="shared" si="13"/>
        <v/>
      </c>
      <c r="X38" s="41" t="str">
        <f t="shared" si="13"/>
        <v/>
      </c>
      <c r="Y38" s="41" t="str">
        <f t="shared" si="13"/>
        <v/>
      </c>
      <c r="Z38" s="41" t="str">
        <f t="shared" si="13"/>
        <v/>
      </c>
      <c r="AA38" s="41" t="str">
        <f t="shared" si="13"/>
        <v/>
      </c>
      <c r="AB38" s="41" t="str">
        <f t="shared" si="13"/>
        <v/>
      </c>
      <c r="AC38" s="41" t="str">
        <f t="shared" si="13"/>
        <v/>
      </c>
      <c r="AD38" s="41" t="str">
        <f t="shared" si="14"/>
        <v/>
      </c>
      <c r="AE38" s="41" t="str">
        <f t="shared" si="15"/>
        <v/>
      </c>
      <c r="AF38" s="41" t="str">
        <f t="shared" si="15"/>
        <v/>
      </c>
      <c r="AG38" s="41" t="str">
        <f t="shared" si="15"/>
        <v/>
      </c>
      <c r="AH38" s="41" t="str">
        <f t="shared" si="15"/>
        <v/>
      </c>
      <c r="AI38" s="41" t="str">
        <f t="shared" si="15"/>
        <v/>
      </c>
      <c r="AJ38" s="41" t="str">
        <f t="shared" si="15"/>
        <v/>
      </c>
      <c r="AK38" s="41" t="str">
        <f t="shared" si="15"/>
        <v/>
      </c>
      <c r="AL38" s="41" t="str">
        <f t="shared" si="15"/>
        <v/>
      </c>
      <c r="AM38" s="41" t="str">
        <f t="shared" si="15"/>
        <v/>
      </c>
      <c r="AN38" s="41" t="str">
        <f t="shared" si="15"/>
        <v/>
      </c>
      <c r="AO38" s="41" t="str">
        <f t="shared" si="15"/>
        <v/>
      </c>
      <c r="AP38" s="41" t="str">
        <f t="shared" si="15"/>
        <v/>
      </c>
      <c r="AQ38" s="41" t="str">
        <f t="shared" si="16"/>
        <v/>
      </c>
      <c r="AR38" s="41"/>
      <c r="AS38" s="41"/>
      <c r="AT38" s="41"/>
      <c r="AU38" s="41"/>
      <c r="AV38" s="41"/>
      <c r="AW38" s="41"/>
      <c r="AX38" s="41"/>
      <c r="AY38" s="41"/>
      <c r="AZ38" s="41"/>
      <c r="BA38" s="37"/>
      <c r="BB38" s="38"/>
      <c r="BC38" s="37"/>
    </row>
    <row r="39" spans="1:55" x14ac:dyDescent="0.35">
      <c r="A39" s="41"/>
      <c r="B39" s="41"/>
      <c r="C39" s="41"/>
      <c r="D39" s="41"/>
      <c r="E39" s="43" t="str">
        <f t="shared" si="9"/>
        <v/>
      </c>
      <c r="F39" s="41" t="str">
        <f t="shared" si="10"/>
        <v/>
      </c>
      <c r="G39" s="41" t="str">
        <f t="shared" si="11"/>
        <v/>
      </c>
      <c r="H39" s="41" t="str">
        <f t="shared" si="11"/>
        <v/>
      </c>
      <c r="I39" s="62" t="str">
        <f t="shared" si="11"/>
        <v/>
      </c>
      <c r="J39" s="62" t="str">
        <f t="shared" si="11"/>
        <v/>
      </c>
      <c r="K39" s="62" t="str">
        <f t="shared" si="11"/>
        <v/>
      </c>
      <c r="L39" s="41" t="str">
        <f t="shared" si="11"/>
        <v/>
      </c>
      <c r="M39" s="41" t="str">
        <f t="shared" si="11"/>
        <v/>
      </c>
      <c r="N39" s="41" t="str">
        <f t="shared" si="11"/>
        <v/>
      </c>
      <c r="O39" s="41" t="str">
        <f t="shared" si="11"/>
        <v/>
      </c>
      <c r="P39" s="41" t="str">
        <f t="shared" si="11"/>
        <v/>
      </c>
      <c r="Q39" s="41" t="str">
        <f t="shared" si="12"/>
        <v/>
      </c>
      <c r="R39" s="41" t="str">
        <f t="shared" si="13"/>
        <v/>
      </c>
      <c r="S39" s="41" t="str">
        <f t="shared" si="13"/>
        <v/>
      </c>
      <c r="T39" s="41" t="str">
        <f t="shared" si="13"/>
        <v/>
      </c>
      <c r="U39" s="41" t="str">
        <f t="shared" si="13"/>
        <v/>
      </c>
      <c r="V39" s="41" t="str">
        <f t="shared" si="13"/>
        <v/>
      </c>
      <c r="W39" s="41" t="str">
        <f t="shared" si="13"/>
        <v/>
      </c>
      <c r="X39" s="41" t="str">
        <f t="shared" si="13"/>
        <v/>
      </c>
      <c r="Y39" s="41" t="str">
        <f t="shared" si="13"/>
        <v/>
      </c>
      <c r="Z39" s="41" t="str">
        <f t="shared" si="13"/>
        <v/>
      </c>
      <c r="AA39" s="41" t="str">
        <f t="shared" si="13"/>
        <v/>
      </c>
      <c r="AB39" s="41" t="str">
        <f t="shared" si="13"/>
        <v/>
      </c>
      <c r="AC39" s="41" t="str">
        <f t="shared" si="13"/>
        <v/>
      </c>
      <c r="AD39" s="41" t="str">
        <f t="shared" si="14"/>
        <v/>
      </c>
      <c r="AE39" s="41" t="str">
        <f t="shared" si="15"/>
        <v/>
      </c>
      <c r="AF39" s="41" t="str">
        <f t="shared" si="15"/>
        <v/>
      </c>
      <c r="AG39" s="41" t="str">
        <f t="shared" si="15"/>
        <v/>
      </c>
      <c r="AH39" s="41" t="str">
        <f t="shared" si="15"/>
        <v/>
      </c>
      <c r="AI39" s="41" t="str">
        <f t="shared" si="15"/>
        <v/>
      </c>
      <c r="AJ39" s="41" t="str">
        <f t="shared" si="15"/>
        <v/>
      </c>
      <c r="AK39" s="41" t="str">
        <f t="shared" si="15"/>
        <v/>
      </c>
      <c r="AL39" s="41" t="str">
        <f t="shared" si="15"/>
        <v/>
      </c>
      <c r="AM39" s="41" t="str">
        <f t="shared" si="15"/>
        <v/>
      </c>
      <c r="AN39" s="41" t="str">
        <f t="shared" si="15"/>
        <v/>
      </c>
      <c r="AO39" s="41" t="str">
        <f t="shared" si="15"/>
        <v/>
      </c>
      <c r="AP39" s="41" t="str">
        <f t="shared" si="15"/>
        <v/>
      </c>
      <c r="AQ39" s="41" t="str">
        <f t="shared" si="16"/>
        <v/>
      </c>
      <c r="AR39" s="41"/>
      <c r="AS39" s="41"/>
      <c r="AT39" s="41"/>
      <c r="AU39" s="41"/>
      <c r="AV39" s="41"/>
      <c r="AW39" s="41"/>
      <c r="AX39" s="41"/>
      <c r="AY39" s="41"/>
      <c r="AZ39" s="41"/>
      <c r="BA39" s="37"/>
      <c r="BB39" s="38"/>
      <c r="BC39" s="37"/>
    </row>
    <row r="40" spans="1:55" x14ac:dyDescent="0.35">
      <c r="A40" s="41"/>
      <c r="B40" s="41"/>
      <c r="C40" s="41"/>
      <c r="D40" s="41"/>
      <c r="E40" s="43" t="str">
        <f t="shared" si="9"/>
        <v/>
      </c>
      <c r="F40" s="41" t="str">
        <f t="shared" si="10"/>
        <v/>
      </c>
      <c r="G40" s="41" t="str">
        <f t="shared" si="11"/>
        <v/>
      </c>
      <c r="H40" s="41" t="str">
        <f t="shared" si="11"/>
        <v/>
      </c>
      <c r="I40" s="62" t="str">
        <f t="shared" si="11"/>
        <v/>
      </c>
      <c r="J40" s="62" t="str">
        <f t="shared" si="11"/>
        <v/>
      </c>
      <c r="K40" s="62" t="str">
        <f t="shared" si="11"/>
        <v/>
      </c>
      <c r="L40" s="41" t="str">
        <f t="shared" si="11"/>
        <v/>
      </c>
      <c r="M40" s="41" t="str">
        <f t="shared" si="11"/>
        <v/>
      </c>
      <c r="N40" s="41" t="str">
        <f t="shared" si="11"/>
        <v/>
      </c>
      <c r="O40" s="41" t="str">
        <f t="shared" si="11"/>
        <v/>
      </c>
      <c r="P40" s="41" t="str">
        <f t="shared" si="11"/>
        <v/>
      </c>
      <c r="Q40" s="41" t="str">
        <f t="shared" si="12"/>
        <v/>
      </c>
      <c r="R40" s="41" t="str">
        <f t="shared" si="13"/>
        <v/>
      </c>
      <c r="S40" s="41" t="str">
        <f t="shared" si="13"/>
        <v/>
      </c>
      <c r="T40" s="41" t="str">
        <f t="shared" si="13"/>
        <v/>
      </c>
      <c r="U40" s="41" t="str">
        <f t="shared" si="13"/>
        <v/>
      </c>
      <c r="V40" s="41" t="str">
        <f t="shared" si="13"/>
        <v/>
      </c>
      <c r="W40" s="41" t="str">
        <f t="shared" si="13"/>
        <v/>
      </c>
      <c r="X40" s="41" t="str">
        <f t="shared" si="13"/>
        <v/>
      </c>
      <c r="Y40" s="41" t="str">
        <f t="shared" si="13"/>
        <v/>
      </c>
      <c r="Z40" s="41" t="str">
        <f t="shared" si="13"/>
        <v/>
      </c>
      <c r="AA40" s="41" t="str">
        <f t="shared" si="13"/>
        <v/>
      </c>
      <c r="AB40" s="41" t="str">
        <f t="shared" si="13"/>
        <v/>
      </c>
      <c r="AC40" s="41" t="str">
        <f t="shared" si="13"/>
        <v/>
      </c>
      <c r="AD40" s="41" t="str">
        <f t="shared" si="14"/>
        <v/>
      </c>
      <c r="AE40" s="41" t="str">
        <f t="shared" si="15"/>
        <v/>
      </c>
      <c r="AF40" s="41" t="str">
        <f t="shared" si="15"/>
        <v/>
      </c>
      <c r="AG40" s="41" t="str">
        <f t="shared" si="15"/>
        <v/>
      </c>
      <c r="AH40" s="41" t="str">
        <f t="shared" si="15"/>
        <v/>
      </c>
      <c r="AI40" s="41" t="str">
        <f t="shared" si="15"/>
        <v/>
      </c>
      <c r="AJ40" s="41" t="str">
        <f t="shared" si="15"/>
        <v/>
      </c>
      <c r="AK40" s="41" t="str">
        <f t="shared" si="15"/>
        <v/>
      </c>
      <c r="AL40" s="41" t="str">
        <f t="shared" si="15"/>
        <v/>
      </c>
      <c r="AM40" s="41" t="str">
        <f t="shared" si="15"/>
        <v/>
      </c>
      <c r="AN40" s="41" t="str">
        <f t="shared" si="15"/>
        <v/>
      </c>
      <c r="AO40" s="41" t="str">
        <f t="shared" si="15"/>
        <v/>
      </c>
      <c r="AP40" s="41" t="str">
        <f t="shared" si="15"/>
        <v/>
      </c>
      <c r="AQ40" s="41" t="str">
        <f t="shared" si="16"/>
        <v/>
      </c>
      <c r="AR40" s="41"/>
      <c r="AS40" s="41"/>
      <c r="AT40" s="41"/>
      <c r="AU40" s="41"/>
      <c r="AV40" s="41"/>
      <c r="AW40" s="41"/>
      <c r="AX40" s="41"/>
      <c r="AY40" s="41"/>
      <c r="AZ40" s="41"/>
      <c r="BA40" s="37"/>
      <c r="BB40" s="38"/>
      <c r="BC40" s="37"/>
    </row>
    <row r="41" spans="1:55" x14ac:dyDescent="0.35">
      <c r="A41" s="41"/>
      <c r="B41" s="41"/>
      <c r="C41" s="41"/>
      <c r="D41" s="41"/>
      <c r="E41" s="43" t="str">
        <f t="shared" si="9"/>
        <v/>
      </c>
      <c r="F41" s="41" t="str">
        <f t="shared" si="10"/>
        <v/>
      </c>
      <c r="G41" s="41" t="str">
        <f t="shared" si="11"/>
        <v/>
      </c>
      <c r="H41" s="41" t="str">
        <f t="shared" si="11"/>
        <v/>
      </c>
      <c r="I41" s="62" t="str">
        <f t="shared" si="11"/>
        <v/>
      </c>
      <c r="J41" s="62" t="str">
        <f t="shared" si="11"/>
        <v/>
      </c>
      <c r="K41" s="62" t="str">
        <f t="shared" si="11"/>
        <v/>
      </c>
      <c r="L41" s="41" t="str">
        <f t="shared" si="11"/>
        <v/>
      </c>
      <c r="M41" s="41" t="str">
        <f t="shared" si="11"/>
        <v/>
      </c>
      <c r="N41" s="41" t="str">
        <f t="shared" si="11"/>
        <v/>
      </c>
      <c r="O41" s="41" t="str">
        <f t="shared" si="11"/>
        <v/>
      </c>
      <c r="P41" s="41" t="str">
        <f t="shared" si="11"/>
        <v/>
      </c>
      <c r="Q41" s="41" t="str">
        <f t="shared" si="12"/>
        <v/>
      </c>
      <c r="R41" s="41" t="str">
        <f t="shared" si="13"/>
        <v/>
      </c>
      <c r="S41" s="41" t="str">
        <f t="shared" si="13"/>
        <v/>
      </c>
      <c r="T41" s="41" t="str">
        <f t="shared" si="13"/>
        <v/>
      </c>
      <c r="U41" s="41" t="str">
        <f t="shared" si="13"/>
        <v/>
      </c>
      <c r="V41" s="41" t="str">
        <f t="shared" si="13"/>
        <v/>
      </c>
      <c r="W41" s="41" t="str">
        <f t="shared" si="13"/>
        <v/>
      </c>
      <c r="X41" s="41" t="str">
        <f t="shared" si="13"/>
        <v/>
      </c>
      <c r="Y41" s="41" t="str">
        <f t="shared" si="13"/>
        <v/>
      </c>
      <c r="Z41" s="41" t="str">
        <f t="shared" si="13"/>
        <v/>
      </c>
      <c r="AA41" s="41" t="str">
        <f t="shared" si="13"/>
        <v/>
      </c>
      <c r="AB41" s="41" t="str">
        <f t="shared" si="13"/>
        <v/>
      </c>
      <c r="AC41" s="41" t="str">
        <f t="shared" si="13"/>
        <v/>
      </c>
      <c r="AD41" s="41" t="str">
        <f t="shared" si="14"/>
        <v/>
      </c>
      <c r="AE41" s="41" t="str">
        <f t="shared" si="15"/>
        <v/>
      </c>
      <c r="AF41" s="41" t="str">
        <f t="shared" si="15"/>
        <v/>
      </c>
      <c r="AG41" s="41" t="str">
        <f t="shared" si="15"/>
        <v/>
      </c>
      <c r="AH41" s="41" t="str">
        <f t="shared" si="15"/>
        <v/>
      </c>
      <c r="AI41" s="41" t="str">
        <f t="shared" si="15"/>
        <v/>
      </c>
      <c r="AJ41" s="41" t="str">
        <f t="shared" si="15"/>
        <v/>
      </c>
      <c r="AK41" s="41" t="str">
        <f t="shared" si="15"/>
        <v/>
      </c>
      <c r="AL41" s="41" t="str">
        <f t="shared" si="15"/>
        <v/>
      </c>
      <c r="AM41" s="41" t="str">
        <f t="shared" si="15"/>
        <v/>
      </c>
      <c r="AN41" s="41" t="str">
        <f t="shared" si="15"/>
        <v/>
      </c>
      <c r="AO41" s="41" t="str">
        <f t="shared" si="15"/>
        <v/>
      </c>
      <c r="AP41" s="41" t="str">
        <f t="shared" si="15"/>
        <v/>
      </c>
      <c r="AQ41" s="41" t="str">
        <f t="shared" si="16"/>
        <v/>
      </c>
      <c r="AR41" s="41"/>
      <c r="AS41" s="41"/>
      <c r="AT41" s="41"/>
      <c r="AU41" s="41"/>
      <c r="AV41" s="41"/>
      <c r="AW41" s="41"/>
      <c r="AX41" s="41"/>
      <c r="AY41" s="41"/>
      <c r="AZ41" s="41"/>
      <c r="BA41" s="37"/>
      <c r="BB41" s="38"/>
      <c r="BC41" s="37"/>
    </row>
    <row r="42" spans="1:55" x14ac:dyDescent="0.35">
      <c r="A42" s="41"/>
      <c r="B42" s="41"/>
      <c r="C42" s="41"/>
      <c r="D42" s="41"/>
      <c r="E42" s="43" t="str">
        <f t="shared" si="9"/>
        <v/>
      </c>
      <c r="F42" s="41" t="str">
        <f t="shared" si="10"/>
        <v/>
      </c>
      <c r="G42" s="41" t="str">
        <f t="shared" si="11"/>
        <v/>
      </c>
      <c r="H42" s="41" t="str">
        <f t="shared" si="11"/>
        <v/>
      </c>
      <c r="I42" s="62" t="str">
        <f t="shared" si="11"/>
        <v/>
      </c>
      <c r="J42" s="62" t="str">
        <f t="shared" si="11"/>
        <v/>
      </c>
      <c r="K42" s="62" t="str">
        <f t="shared" si="11"/>
        <v/>
      </c>
      <c r="L42" s="41" t="str">
        <f t="shared" si="11"/>
        <v/>
      </c>
      <c r="M42" s="41" t="str">
        <f t="shared" si="11"/>
        <v/>
      </c>
      <c r="N42" s="41" t="str">
        <f t="shared" si="11"/>
        <v/>
      </c>
      <c r="O42" s="41" t="str">
        <f t="shared" si="11"/>
        <v/>
      </c>
      <c r="P42" s="41" t="str">
        <f t="shared" si="11"/>
        <v/>
      </c>
      <c r="Q42" s="41" t="str">
        <f t="shared" si="12"/>
        <v/>
      </c>
      <c r="R42" s="41" t="str">
        <f t="shared" si="13"/>
        <v/>
      </c>
      <c r="S42" s="41" t="str">
        <f t="shared" si="13"/>
        <v/>
      </c>
      <c r="T42" s="41" t="str">
        <f t="shared" si="13"/>
        <v/>
      </c>
      <c r="U42" s="41" t="str">
        <f t="shared" si="13"/>
        <v/>
      </c>
      <c r="V42" s="41" t="str">
        <f t="shared" si="13"/>
        <v/>
      </c>
      <c r="W42" s="41" t="str">
        <f t="shared" si="13"/>
        <v/>
      </c>
      <c r="X42" s="41" t="str">
        <f t="shared" si="13"/>
        <v/>
      </c>
      <c r="Y42" s="41" t="str">
        <f t="shared" si="13"/>
        <v/>
      </c>
      <c r="Z42" s="41" t="str">
        <f t="shared" si="13"/>
        <v/>
      </c>
      <c r="AA42" s="41" t="str">
        <f t="shared" si="13"/>
        <v/>
      </c>
      <c r="AB42" s="41" t="str">
        <f t="shared" si="13"/>
        <v/>
      </c>
      <c r="AC42" s="41" t="str">
        <f t="shared" si="13"/>
        <v/>
      </c>
      <c r="AD42" s="41" t="str">
        <f t="shared" si="14"/>
        <v/>
      </c>
      <c r="AE42" s="41" t="str">
        <f t="shared" si="15"/>
        <v/>
      </c>
      <c r="AF42" s="41" t="str">
        <f t="shared" si="15"/>
        <v/>
      </c>
      <c r="AG42" s="41" t="str">
        <f t="shared" si="15"/>
        <v/>
      </c>
      <c r="AH42" s="41" t="str">
        <f t="shared" si="15"/>
        <v/>
      </c>
      <c r="AI42" s="41" t="str">
        <f t="shared" si="15"/>
        <v/>
      </c>
      <c r="AJ42" s="41" t="str">
        <f t="shared" si="15"/>
        <v/>
      </c>
      <c r="AK42" s="41" t="str">
        <f t="shared" si="15"/>
        <v/>
      </c>
      <c r="AL42" s="41" t="str">
        <f t="shared" si="15"/>
        <v/>
      </c>
      <c r="AM42" s="41" t="str">
        <f t="shared" si="15"/>
        <v/>
      </c>
      <c r="AN42" s="41" t="str">
        <f t="shared" si="15"/>
        <v/>
      </c>
      <c r="AO42" s="41" t="str">
        <f t="shared" si="15"/>
        <v/>
      </c>
      <c r="AP42" s="41" t="str">
        <f t="shared" si="15"/>
        <v/>
      </c>
      <c r="AQ42" s="41" t="str">
        <f t="shared" si="16"/>
        <v/>
      </c>
      <c r="AR42" s="41"/>
      <c r="AS42" s="41"/>
      <c r="AT42" s="41"/>
      <c r="AU42" s="41"/>
      <c r="AV42" s="41"/>
      <c r="AW42" s="41"/>
      <c r="AX42" s="41"/>
      <c r="AY42" s="41"/>
      <c r="AZ42" s="41"/>
      <c r="BA42" s="37"/>
      <c r="BB42" s="38"/>
      <c r="BC42" s="37"/>
    </row>
    <row r="43" spans="1:55" x14ac:dyDescent="0.35">
      <c r="A43" s="37"/>
      <c r="B43" s="37"/>
      <c r="C43" s="37"/>
      <c r="D43" s="37"/>
      <c r="E43" s="38"/>
      <c r="F43" s="37"/>
      <c r="G43" s="37"/>
      <c r="H43" s="37"/>
      <c r="I43" s="38"/>
      <c r="J43" s="38"/>
      <c r="K43" s="38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8"/>
      <c r="BC43" s="37"/>
    </row>
    <row r="44" spans="1:55" ht="15" thickBot="1" x14ac:dyDescent="0.4">
      <c r="A44" s="45" t="s">
        <v>78</v>
      </c>
      <c r="B44" s="45"/>
      <c r="C44" s="45"/>
      <c r="D44" s="46">
        <f>SUM(tblNonPayrollIncrementalSpend3[Annualized Spend])</f>
        <v>0</v>
      </c>
      <c r="E44" s="46">
        <f>SUM(tblNonPayrollIncrementalSpend3[Jan-27])</f>
        <v>0</v>
      </c>
      <c r="F44" s="46">
        <f>SUM(tblNonPayrollIncrementalSpend3[Feb-27])</f>
        <v>0</v>
      </c>
      <c r="G44" s="46">
        <f>SUM(tblNonPayrollIncrementalSpend3[Mar-27])</f>
        <v>0</v>
      </c>
      <c r="H44" s="46">
        <f>SUM(tblNonPayrollIncrementalSpend3[Apr-27])</f>
        <v>0</v>
      </c>
      <c r="I44" s="46">
        <f>SUM(tblNonPayrollIncrementalSpend3[May-27])</f>
        <v>0</v>
      </c>
      <c r="J44" s="46">
        <f>SUM(tblNonPayrollIncrementalSpend3[Jun-27])</f>
        <v>0</v>
      </c>
      <c r="K44" s="46">
        <f>SUM(tblNonPayrollIncrementalSpend3[Jul-27])</f>
        <v>0</v>
      </c>
      <c r="L44" s="46">
        <f>SUM(tblNonPayrollIncrementalSpend3[Aug-27])</f>
        <v>0</v>
      </c>
      <c r="M44" s="46">
        <f>SUM(tblNonPayrollIncrementalSpend3[Sep-27])</f>
        <v>0</v>
      </c>
      <c r="N44" s="46">
        <f>SUM(tblNonPayrollIncrementalSpend3[Oct-27])</f>
        <v>0</v>
      </c>
      <c r="O44" s="46">
        <f>SUM(tblNonPayrollIncrementalSpend3[Nov-27])</f>
        <v>0</v>
      </c>
      <c r="P44" s="46">
        <f>SUM(tblNonPayrollIncrementalSpend3[Dec-27])</f>
        <v>0</v>
      </c>
      <c r="Q44" s="46">
        <f>SUM(tblNonPayrollIncrementalSpend3[2027 Incremental Spend])</f>
        <v>0</v>
      </c>
      <c r="R44" s="46">
        <f>SUM(tblNonPayrollIncrementalSpend3[Jan-28])</f>
        <v>0</v>
      </c>
      <c r="S44" s="46">
        <f>SUM(tblNonPayrollIncrementalSpend3[Feb-28])</f>
        <v>0</v>
      </c>
      <c r="T44" s="46">
        <f>SUM(tblNonPayrollIncrementalSpend3[Mar-28])</f>
        <v>0</v>
      </c>
      <c r="U44" s="46">
        <f>SUM(tblNonPayrollIncrementalSpend3[Apr-28])</f>
        <v>0</v>
      </c>
      <c r="V44" s="46">
        <f>SUM(tblNonPayrollIncrementalSpend3[May-28])</f>
        <v>0</v>
      </c>
      <c r="W44" s="46">
        <f>SUM(tblNonPayrollIncrementalSpend3[Jun-28])</f>
        <v>0</v>
      </c>
      <c r="X44" s="46">
        <f>SUM(tblNonPayrollIncrementalSpend3[Jul-28])</f>
        <v>0</v>
      </c>
      <c r="Y44" s="46">
        <f>SUM(tblNonPayrollIncrementalSpend3[Aug-28])</f>
        <v>0</v>
      </c>
      <c r="Z44" s="46">
        <f>SUM(tblNonPayrollIncrementalSpend3[Sep-28])</f>
        <v>0</v>
      </c>
      <c r="AA44" s="46">
        <f>SUM(tblNonPayrollIncrementalSpend3[Oct-28])</f>
        <v>0</v>
      </c>
      <c r="AB44" s="46">
        <f>SUM(tblNonPayrollIncrementalSpend3[Nov-28])</f>
        <v>0</v>
      </c>
      <c r="AC44" s="46">
        <f>SUM(tblNonPayrollIncrementalSpend3[Dec-28])</f>
        <v>0</v>
      </c>
      <c r="AD44" s="46">
        <f>SUM(tblNonPayrollIncrementalSpend3[2028 Incremental Spend])</f>
        <v>0</v>
      </c>
      <c r="AE44" s="46">
        <f>SUM(tblNonPayrollIncrementalSpend3[Jan-29])</f>
        <v>0</v>
      </c>
      <c r="AF44" s="46">
        <f>SUM(tblNonPayrollIncrementalSpend3[Feb-29])</f>
        <v>0</v>
      </c>
      <c r="AG44" s="46">
        <f>SUM(tblNonPayrollIncrementalSpend3[Mar-29])</f>
        <v>0</v>
      </c>
      <c r="AH44" s="46">
        <f>SUM(tblNonPayrollIncrementalSpend3[Apr-29])</f>
        <v>0</v>
      </c>
      <c r="AI44" s="46">
        <f>SUM(tblNonPayrollIncrementalSpend3[May-29])</f>
        <v>0</v>
      </c>
      <c r="AJ44" s="46">
        <f>SUM(tblNonPayrollIncrementalSpend3[Jun-29])</f>
        <v>0</v>
      </c>
      <c r="AK44" s="46">
        <f>SUM(tblNonPayrollIncrementalSpend3[Jul-29])</f>
        <v>0</v>
      </c>
      <c r="AL44" s="46">
        <f>SUM(tblNonPayrollIncrementalSpend3[Aug-29])</f>
        <v>0</v>
      </c>
      <c r="AM44" s="46">
        <f>SUM(tblNonPayrollIncrementalSpend3[Sep-29])</f>
        <v>0</v>
      </c>
      <c r="AN44" s="46">
        <f>SUM(tblNonPayrollIncrementalSpend3[Oct-29])</f>
        <v>0</v>
      </c>
      <c r="AO44" s="46">
        <f>SUM(tblNonPayrollIncrementalSpend3[Nov-29])</f>
        <v>0</v>
      </c>
      <c r="AP44" s="46">
        <f>SUM(tblNonPayrollIncrementalSpend3[Dec-29])</f>
        <v>0</v>
      </c>
      <c r="AQ44" s="46">
        <f>SUM(tblNonPayrollIncrementalSpend3[2029 Incremental Spend])</f>
        <v>0</v>
      </c>
      <c r="AR44" s="46"/>
      <c r="AS44" s="37"/>
      <c r="AT44" s="37"/>
      <c r="AU44" s="37"/>
      <c r="AV44" s="37"/>
      <c r="AW44" s="37"/>
      <c r="AX44" s="37"/>
      <c r="AY44" s="37"/>
      <c r="AZ44" s="37"/>
      <c r="BA44" s="37"/>
      <c r="BB44" s="38"/>
      <c r="BC44" s="37"/>
    </row>
    <row r="45" spans="1:55" ht="15" thickTop="1" x14ac:dyDescent="0.35">
      <c r="L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C45" s="3"/>
    </row>
    <row r="46" spans="1:55" x14ac:dyDescent="0.35">
      <c r="L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</row>
    <row r="47" spans="1:55" x14ac:dyDescent="0.35"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:55" x14ac:dyDescent="0.35"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5:54" x14ac:dyDescent="0.35"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5:54" x14ac:dyDescent="0.35"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</sheetData>
  <sheetProtection algorithmName="SHA-512" hashValue="vfHw08JPORSPfDXrKUhZhLWU2hrgsh9g5eIeriQmpPs4D3iW/ff2ylpsIhmc/WvDFwCfRASoVr6E90tMGtymWA==" saltValue="Y/laI01RzQ/b7aQAmM+dWQ==" spinCount="100000" sheet="1" sort="0" autoFilter="0"/>
  <mergeCells count="3">
    <mergeCell ref="A3:BB3"/>
    <mergeCell ref="A1:BB1"/>
    <mergeCell ref="A26:AR26"/>
  </mergeCells>
  <phoneticPr fontId="9" type="noConversion"/>
  <pageMargins left="0.7" right="0.7" top="0.75" bottom="0.75" header="0.3" footer="0.3"/>
  <customProperties>
    <customPr name="isReportSheetChanged" r:id="rId1"/>
  </customProperties>
  <ignoredErrors>
    <ignoredError sqref="G22:BB22 E29:AR44 E28 F28:AR28 D44" unlockedFormula="1"/>
  </ignoredErrors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ype of Expense" prompt="Select a Non-Payroll category, Contract Labor or Essentials Bonus." xr:uid="{EDF85018-99A0-4805-A752-7B9C9278BFA3}">
          <x14:formula1>
            <xm:f>'Base - Non-Payroll'!$A$3:$A$25</xm:f>
          </x14:formula1>
          <xm:sqref>B28:B42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FD0C7-3DE3-4796-B827-B16212549DFD}">
  <dimension ref="A1:C10"/>
  <sheetViews>
    <sheetView zoomScale="80" zoomScaleNormal="80" workbookViewId="0">
      <selection sqref="A1:XFD1048576"/>
    </sheetView>
  </sheetViews>
  <sheetFormatPr defaultRowHeight="14.5" x14ac:dyDescent="0.35"/>
  <cols>
    <col min="1" max="1" width="15.1796875" customWidth="1"/>
    <col min="2" max="2" width="38.54296875" customWidth="1"/>
    <col min="3" max="3" width="52" customWidth="1"/>
  </cols>
  <sheetData>
    <row r="1" spans="1:3" ht="18.5" x14ac:dyDescent="0.35">
      <c r="A1" s="74" t="s">
        <v>161</v>
      </c>
      <c r="B1" s="74"/>
      <c r="C1" s="74"/>
    </row>
    <row r="2" spans="1:3" x14ac:dyDescent="0.35">
      <c r="A2" s="48"/>
      <c r="B2" s="48"/>
      <c r="C2" s="48"/>
    </row>
    <row r="3" spans="1:3" ht="15" thickBot="1" x14ac:dyDescent="0.4">
      <c r="A3" s="56" t="s">
        <v>82</v>
      </c>
      <c r="B3" s="56" t="s">
        <v>83</v>
      </c>
      <c r="C3" s="56" t="s">
        <v>84</v>
      </c>
    </row>
    <row r="4" spans="1:3" ht="58" x14ac:dyDescent="0.35">
      <c r="A4" s="53">
        <v>1</v>
      </c>
      <c r="B4" s="54" t="s">
        <v>85</v>
      </c>
      <c r="C4" s="55" t="s">
        <v>90</v>
      </c>
    </row>
    <row r="5" spans="1:3" ht="72.5" x14ac:dyDescent="0.35">
      <c r="A5" s="49">
        <v>2</v>
      </c>
      <c r="B5" s="50" t="s">
        <v>86</v>
      </c>
      <c r="C5" s="51" t="s">
        <v>91</v>
      </c>
    </row>
    <row r="6" spans="1:3" ht="87" x14ac:dyDescent="0.35">
      <c r="A6" s="49">
        <v>3</v>
      </c>
      <c r="B6" s="50" t="s">
        <v>87</v>
      </c>
      <c r="C6" s="51" t="s">
        <v>92</v>
      </c>
    </row>
    <row r="7" spans="1:3" ht="72.5" x14ac:dyDescent="0.35">
      <c r="A7" s="49">
        <v>4</v>
      </c>
      <c r="B7" s="50" t="s">
        <v>88</v>
      </c>
      <c r="C7" s="51" t="s">
        <v>93</v>
      </c>
    </row>
    <row r="8" spans="1:3" ht="72.5" x14ac:dyDescent="0.35">
      <c r="A8" s="49">
        <v>5</v>
      </c>
      <c r="B8" s="50" t="s">
        <v>89</v>
      </c>
      <c r="C8" s="51" t="s">
        <v>94</v>
      </c>
    </row>
    <row r="9" spans="1:3" x14ac:dyDescent="0.35">
      <c r="A9" s="52"/>
      <c r="B9" s="52"/>
      <c r="C9" s="52"/>
    </row>
    <row r="10" spans="1:3" ht="8" customHeight="1" x14ac:dyDescent="0.35">
      <c r="A10" s="48"/>
      <c r="B10" s="48"/>
      <c r="C10" s="48"/>
    </row>
  </sheetData>
  <sheetProtection algorithmName="SHA-512" hashValue="VB2JmkoX6uEXSCL+Na6KtMw8fip4FPsfbqYii2FUMFAW9AAyJubpSLCCd96X7HL8V4PyQd0hnScF1UKvR4ua9A==" saltValue="7biAD2EuPGYqGqR693PP1g==" spinCount="100000" sheet="1" objects="1" scenarios="1"/>
  <mergeCells count="1">
    <mergeCell ref="A1:C1"/>
  </mergeCells>
  <pageMargins left="0.7" right="0.7" top="0.75" bottom="0.75" header="0.3" footer="0.3"/>
  <customProperties>
    <customPr name="isReportSheetChange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D5E0E-8C23-49C5-8FDC-77C1AD71850E}">
  <dimension ref="A1"/>
  <sheetViews>
    <sheetView workbookViewId="0">
      <selection activeCell="L24" sqref="L24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5E85-6B09-44D2-B1B3-2C68F48FFDDF}">
  <dimension ref="A1:J17"/>
  <sheetViews>
    <sheetView zoomScale="60" zoomScaleNormal="60" workbookViewId="0">
      <selection activeCell="F14" sqref="F14"/>
    </sheetView>
  </sheetViews>
  <sheetFormatPr defaultRowHeight="14.5" x14ac:dyDescent="0.35"/>
  <cols>
    <col min="1" max="1" width="21" bestFit="1" customWidth="1"/>
    <col min="2" max="2" width="31.81640625" customWidth="1"/>
    <col min="3" max="3" width="47.26953125" customWidth="1"/>
    <col min="4" max="4" width="15.453125" customWidth="1"/>
    <col min="5" max="5" width="37.90625" bestFit="1" customWidth="1"/>
    <col min="6" max="6" width="17.81640625" customWidth="1"/>
    <col min="7" max="8" width="15.453125" customWidth="1"/>
    <col min="9" max="9" width="19.1796875" bestFit="1" customWidth="1"/>
    <col min="10" max="10" width="35.08984375" bestFit="1" customWidth="1"/>
  </cols>
  <sheetData>
    <row r="1" spans="1:10" x14ac:dyDescent="0.35">
      <c r="B1" s="30" t="s">
        <v>0</v>
      </c>
      <c r="C1" s="30" t="s">
        <v>1</v>
      </c>
      <c r="D1" s="30" t="s">
        <v>16</v>
      </c>
      <c r="E1" s="30" t="s">
        <v>18</v>
      </c>
      <c r="F1" s="30" t="s">
        <v>20</v>
      </c>
      <c r="G1" s="30" t="s">
        <v>22</v>
      </c>
      <c r="H1" s="30" t="s">
        <v>22</v>
      </c>
      <c r="I1" s="30" t="s">
        <v>22</v>
      </c>
      <c r="J1" s="30"/>
    </row>
    <row r="2" spans="1:10" x14ac:dyDescent="0.35">
      <c r="B2" s="31" t="s">
        <v>2</v>
      </c>
      <c r="C2" s="31" t="s">
        <v>2</v>
      </c>
      <c r="D2" s="30" t="s">
        <v>17</v>
      </c>
      <c r="E2" s="30" t="s">
        <v>19</v>
      </c>
      <c r="F2" s="30" t="s">
        <v>74</v>
      </c>
      <c r="G2" s="30" t="s">
        <v>24</v>
      </c>
      <c r="H2" s="30" t="s">
        <v>158</v>
      </c>
      <c r="I2" s="30" t="s">
        <v>159</v>
      </c>
      <c r="J2" s="30"/>
    </row>
    <row r="3" spans="1:10" x14ac:dyDescent="0.35">
      <c r="A3" t="s">
        <v>118</v>
      </c>
      <c r="B3" s="28" t="s">
        <v>3</v>
      </c>
      <c r="C3" s="28" t="s">
        <v>23</v>
      </c>
      <c r="D3" s="29">
        <v>9991465</v>
      </c>
      <c r="E3" s="29">
        <v>11677112</v>
      </c>
      <c r="F3" s="35">
        <f t="shared" ref="F3:F9" si="0">E3/D3-1</f>
        <v>0.16870869286936396</v>
      </c>
      <c r="G3" s="29">
        <v>12353631</v>
      </c>
      <c r="H3" s="29">
        <f>G3</f>
        <v>12353631</v>
      </c>
      <c r="I3" s="29">
        <f>H3</f>
        <v>12353631</v>
      </c>
      <c r="J3" s="28" t="s">
        <v>160</v>
      </c>
    </row>
    <row r="4" spans="1:10" x14ac:dyDescent="0.35">
      <c r="A4" t="s">
        <v>48</v>
      </c>
      <c r="B4" s="28" t="s">
        <v>3</v>
      </c>
      <c r="C4" s="28" t="s">
        <v>25</v>
      </c>
      <c r="D4" s="29">
        <v>1268881</v>
      </c>
      <c r="E4" s="29">
        <v>1500352</v>
      </c>
      <c r="F4" s="35">
        <f t="shared" si="0"/>
        <v>0.18242136181407087</v>
      </c>
      <c r="G4" s="29">
        <f>$G$3*E12</f>
        <v>1587275.6018878638</v>
      </c>
      <c r="H4" s="29">
        <f t="shared" ref="H4:I9" si="1">G4</f>
        <v>1587275.6018878638</v>
      </c>
      <c r="I4" s="29">
        <f t="shared" si="1"/>
        <v>1587275.6018878638</v>
      </c>
      <c r="J4" s="29"/>
    </row>
    <row r="5" spans="1:10" x14ac:dyDescent="0.35">
      <c r="A5" t="s">
        <v>49</v>
      </c>
      <c r="B5" s="28" t="s">
        <v>3</v>
      </c>
      <c r="C5" s="28" t="s">
        <v>26</v>
      </c>
      <c r="D5" s="29">
        <v>1491681</v>
      </c>
      <c r="E5" s="29">
        <v>1806053</v>
      </c>
      <c r="F5" s="35">
        <f t="shared" si="0"/>
        <v>0.21075015368567418</v>
      </c>
      <c r="G5" s="29">
        <f t="shared" ref="G5:G8" si="2">$G$3*E13</f>
        <v>1910687.5337363381</v>
      </c>
      <c r="H5" s="29">
        <f t="shared" si="1"/>
        <v>1910687.5337363381</v>
      </c>
      <c r="I5" s="29">
        <f t="shared" si="1"/>
        <v>1910687.5337363381</v>
      </c>
      <c r="J5" s="29"/>
    </row>
    <row r="6" spans="1:10" x14ac:dyDescent="0.35">
      <c r="A6" t="s">
        <v>57</v>
      </c>
      <c r="B6" s="28" t="s">
        <v>3</v>
      </c>
      <c r="C6" s="28" t="s">
        <v>27</v>
      </c>
      <c r="D6" s="29">
        <v>2069738</v>
      </c>
      <c r="E6" s="29">
        <v>2316552</v>
      </c>
      <c r="F6" s="35">
        <f t="shared" si="0"/>
        <v>0.1192489097653906</v>
      </c>
      <c r="G6" s="29">
        <f t="shared" si="2"/>
        <v>2450762.5344616035</v>
      </c>
      <c r="H6" s="29">
        <f t="shared" si="1"/>
        <v>2450762.5344616035</v>
      </c>
      <c r="I6" s="29">
        <f t="shared" si="1"/>
        <v>2450762.5344616035</v>
      </c>
      <c r="J6" s="29"/>
    </row>
    <row r="7" spans="1:10" x14ac:dyDescent="0.35">
      <c r="A7" t="s">
        <v>50</v>
      </c>
      <c r="B7" s="28" t="s">
        <v>3</v>
      </c>
      <c r="C7" s="28" t="s">
        <v>28</v>
      </c>
      <c r="D7" s="29">
        <v>141769</v>
      </c>
      <c r="E7" s="29">
        <v>127917</v>
      </c>
      <c r="F7" s="35">
        <f t="shared" si="0"/>
        <v>-9.7708243692203545E-2</v>
      </c>
      <c r="G7" s="29">
        <f t="shared" si="2"/>
        <v>135327.93182312543</v>
      </c>
      <c r="H7" s="29">
        <f t="shared" si="1"/>
        <v>135327.93182312543</v>
      </c>
      <c r="I7" s="29">
        <f t="shared" si="1"/>
        <v>135327.93182312543</v>
      </c>
      <c r="J7" s="29"/>
    </row>
    <row r="8" spans="1:10" x14ac:dyDescent="0.35">
      <c r="A8" t="s">
        <v>51</v>
      </c>
      <c r="B8" s="28" t="s">
        <v>3</v>
      </c>
      <c r="C8" s="28" t="s">
        <v>29</v>
      </c>
      <c r="D8" s="29">
        <v>39950</v>
      </c>
      <c r="E8" s="29">
        <v>50</v>
      </c>
      <c r="F8" s="35">
        <f t="shared" si="0"/>
        <v>-0.99874843554443049</v>
      </c>
      <c r="G8" s="29">
        <f t="shared" si="2"/>
        <v>52.896773620052628</v>
      </c>
      <c r="H8" s="29">
        <f t="shared" si="1"/>
        <v>52.896773620052628</v>
      </c>
      <c r="I8" s="29">
        <f t="shared" si="1"/>
        <v>52.896773620052628</v>
      </c>
      <c r="J8" s="29"/>
    </row>
    <row r="9" spans="1:10" x14ac:dyDescent="0.35">
      <c r="A9" t="s">
        <v>76</v>
      </c>
      <c r="B9" s="28" t="s">
        <v>3</v>
      </c>
      <c r="C9" s="28" t="s">
        <v>75</v>
      </c>
      <c r="D9" s="29">
        <v>1340507.8500000001</v>
      </c>
      <c r="E9" s="29">
        <v>1515941.79</v>
      </c>
      <c r="F9" s="35">
        <f t="shared" si="0"/>
        <v>0.13087125151859413</v>
      </c>
      <c r="G9" s="29">
        <f>((E9/D9-1)+1)*E9</f>
        <v>1714334.9892866379</v>
      </c>
      <c r="H9" s="29">
        <f t="shared" si="1"/>
        <v>1714334.9892866379</v>
      </c>
      <c r="I9" s="29">
        <f t="shared" si="1"/>
        <v>1714334.9892866379</v>
      </c>
      <c r="J9" s="29"/>
    </row>
    <row r="10" spans="1:10" x14ac:dyDescent="0.35">
      <c r="B10" s="32"/>
      <c r="C10" s="32"/>
      <c r="D10" s="33">
        <f>SUM(D3:D9)</f>
        <v>16343991.85</v>
      </c>
      <c r="E10" s="33">
        <f>SUM(E3:E9)</f>
        <v>18943977.789999999</v>
      </c>
      <c r="F10" s="34"/>
      <c r="G10" s="33">
        <f>SUM(G3:G9)</f>
        <v>20152072.487969194</v>
      </c>
      <c r="H10" s="33">
        <f>SUM(H3:H9)</f>
        <v>20152072.487969194</v>
      </c>
      <c r="I10" s="33">
        <f>SUM(I3:I9)</f>
        <v>20152072.487969194</v>
      </c>
      <c r="J10" s="33"/>
    </row>
    <row r="11" spans="1:10" x14ac:dyDescent="0.35">
      <c r="B11" s="9"/>
      <c r="C11" s="9"/>
      <c r="D11" s="9"/>
      <c r="E11" s="9"/>
      <c r="F11" s="9"/>
      <c r="G11" s="9"/>
      <c r="H11" s="9"/>
      <c r="I11" s="9"/>
      <c r="J11" s="9"/>
    </row>
    <row r="12" spans="1:10" x14ac:dyDescent="0.35">
      <c r="B12" s="28" t="s">
        <v>3</v>
      </c>
      <c r="C12" s="28" t="s">
        <v>25</v>
      </c>
      <c r="D12" s="35">
        <f t="shared" ref="D12:D17" si="3">D4/$D$3</f>
        <v>0.12699649150549994</v>
      </c>
      <c r="E12" s="35">
        <f t="shared" ref="E12:E17" si="4">E4/$E$3</f>
        <v>0.12848656414359988</v>
      </c>
      <c r="F12" s="35"/>
      <c r="G12" s="35">
        <f>G4/$G$3</f>
        <v>0.12848656414359988</v>
      </c>
      <c r="H12" s="35">
        <f>H4/$H$3</f>
        <v>0.12848656414359988</v>
      </c>
      <c r="I12" s="35">
        <f>I4/$I$3</f>
        <v>0.12848656414359988</v>
      </c>
      <c r="J12" s="35"/>
    </row>
    <row r="13" spans="1:10" x14ac:dyDescent="0.35">
      <c r="B13" s="28" t="s">
        <v>3</v>
      </c>
      <c r="C13" s="28" t="s">
        <v>26</v>
      </c>
      <c r="D13" s="35">
        <f t="shared" si="3"/>
        <v>0.14929552372950314</v>
      </c>
      <c r="E13" s="35">
        <f t="shared" si="4"/>
        <v>0.15466606811684258</v>
      </c>
      <c r="F13" s="24"/>
      <c r="G13" s="35">
        <f t="shared" ref="G13:G17" si="5">G5/$G$3</f>
        <v>0.15466606811684258</v>
      </c>
      <c r="H13" s="35">
        <f t="shared" ref="H13:H17" si="6">H5/$H$3</f>
        <v>0.15466606811684258</v>
      </c>
      <c r="I13" s="35">
        <f t="shared" ref="I13:I17" si="7">I5/$I$3</f>
        <v>0.15466606811684258</v>
      </c>
      <c r="J13" s="35"/>
    </row>
    <row r="14" spans="1:10" x14ac:dyDescent="0.35">
      <c r="B14" s="28" t="s">
        <v>3</v>
      </c>
      <c r="C14" s="28" t="s">
        <v>27</v>
      </c>
      <c r="D14" s="35">
        <f t="shared" si="3"/>
        <v>0.20715060303969438</v>
      </c>
      <c r="E14" s="35">
        <f t="shared" si="4"/>
        <v>0.19838398398508125</v>
      </c>
      <c r="F14" s="24"/>
      <c r="G14" s="35">
        <f t="shared" si="5"/>
        <v>0.19838398398508128</v>
      </c>
      <c r="H14" s="35">
        <f t="shared" si="6"/>
        <v>0.19838398398508128</v>
      </c>
      <c r="I14" s="35">
        <f t="shared" si="7"/>
        <v>0.19838398398508128</v>
      </c>
      <c r="J14" s="35"/>
    </row>
    <row r="15" spans="1:10" x14ac:dyDescent="0.35">
      <c r="B15" s="28" t="s">
        <v>3</v>
      </c>
      <c r="C15" s="28" t="s">
        <v>28</v>
      </c>
      <c r="D15" s="35">
        <f t="shared" si="3"/>
        <v>1.4189010320308382E-2</v>
      </c>
      <c r="E15" s="35">
        <f t="shared" si="4"/>
        <v>1.0954506559498615E-2</v>
      </c>
      <c r="F15" s="24"/>
      <c r="G15" s="35">
        <f t="shared" si="5"/>
        <v>1.0954506559498615E-2</v>
      </c>
      <c r="H15" s="35">
        <f t="shared" si="6"/>
        <v>1.0954506559498615E-2</v>
      </c>
      <c r="I15" s="35">
        <f t="shared" si="7"/>
        <v>1.0954506559498615E-2</v>
      </c>
      <c r="J15" s="35"/>
    </row>
    <row r="16" spans="1:10" x14ac:dyDescent="0.35">
      <c r="B16" s="28" t="s">
        <v>3</v>
      </c>
      <c r="C16" s="28" t="s">
        <v>29</v>
      </c>
      <c r="D16" s="35">
        <f t="shared" si="3"/>
        <v>3.9984126451926717E-3</v>
      </c>
      <c r="E16" s="35">
        <f t="shared" si="4"/>
        <v>4.2818806567925354E-6</v>
      </c>
      <c r="F16" s="24"/>
      <c r="G16" s="35">
        <f t="shared" si="5"/>
        <v>4.2818806567925354E-6</v>
      </c>
      <c r="H16" s="35">
        <f t="shared" si="6"/>
        <v>4.2818806567925354E-6</v>
      </c>
      <c r="I16" s="35">
        <f t="shared" si="7"/>
        <v>4.2818806567925354E-6</v>
      </c>
      <c r="J16" s="35"/>
    </row>
    <row r="17" spans="2:10" x14ac:dyDescent="0.35">
      <c r="B17" s="28" t="s">
        <v>3</v>
      </c>
      <c r="C17" s="28" t="s">
        <v>75</v>
      </c>
      <c r="D17" s="35">
        <f t="shared" si="3"/>
        <v>0.13416529507935024</v>
      </c>
      <c r="E17" s="35">
        <f t="shared" si="4"/>
        <v>0.12982163654848905</v>
      </c>
      <c r="F17" s="24"/>
      <c r="G17" s="35">
        <f t="shared" si="5"/>
        <v>0.13877174972173265</v>
      </c>
      <c r="H17" s="35">
        <f t="shared" si="6"/>
        <v>0.13877174972173265</v>
      </c>
      <c r="I17" s="35">
        <f t="shared" si="7"/>
        <v>0.13877174972173265</v>
      </c>
      <c r="J17" s="35"/>
    </row>
  </sheetData>
  <sheetProtection algorithmName="SHA-512" hashValue="/mH660xHx6R95uzQ5rBc1L3TqMktfv0r+NYVi1KyzPYjxlZtF3RY/5p5Fnk6A27srn7kv8thcc6D4g09ZTwL3Q==" saltValue="Qkh+VQUlHRSo8hjQEjL44Q==" spinCount="100000" sheet="1" objects="1" scenarios="1"/>
  <pageMargins left="0.7" right="0.7" top="0.75" bottom="0.75" header="0.3" footer="0.3"/>
  <customProperties>
    <customPr name="isReportSheetChanged" r:id="rId1"/>
  </customProperties>
  <ignoredErrors>
    <ignoredError sqref="H12:H1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5402F-6B42-4800-8677-F8B24ED6CFC4}">
  <dimension ref="A1:L26"/>
  <sheetViews>
    <sheetView zoomScale="70" zoomScaleNormal="70" workbookViewId="0">
      <selection activeCell="C45" sqref="C45"/>
    </sheetView>
  </sheetViews>
  <sheetFormatPr defaultRowHeight="14.5" x14ac:dyDescent="0.35"/>
  <cols>
    <col min="1" max="1" width="26.453125" bestFit="1" customWidth="1"/>
    <col min="2" max="2" width="31.81640625" customWidth="1"/>
    <col min="3" max="3" width="62.453125" bestFit="1" customWidth="1"/>
    <col min="4" max="4" width="15.453125" customWidth="1"/>
    <col min="5" max="5" width="35.7265625" bestFit="1" customWidth="1"/>
    <col min="6" max="6" width="17.26953125" customWidth="1"/>
    <col min="7" max="7" width="25.08984375" bestFit="1" customWidth="1"/>
    <col min="8" max="8" width="15.453125" customWidth="1"/>
    <col min="9" max="9" width="25.08984375" bestFit="1" customWidth="1"/>
    <col min="10" max="10" width="15.453125" customWidth="1"/>
    <col min="11" max="11" width="25.08984375" bestFit="1" customWidth="1"/>
    <col min="12" max="12" width="15.453125" customWidth="1"/>
  </cols>
  <sheetData>
    <row r="1" spans="1:12" x14ac:dyDescent="0.35">
      <c r="B1" s="30" t="s">
        <v>0</v>
      </c>
      <c r="C1" s="30" t="s">
        <v>1</v>
      </c>
      <c r="D1" s="30" t="s">
        <v>16</v>
      </c>
      <c r="E1" s="30" t="s">
        <v>18</v>
      </c>
      <c r="F1" s="30" t="s">
        <v>20</v>
      </c>
      <c r="G1" s="30" t="s">
        <v>21</v>
      </c>
      <c r="H1" s="30" t="s">
        <v>22</v>
      </c>
      <c r="I1" s="30" t="s">
        <v>21</v>
      </c>
      <c r="J1" s="30" t="s">
        <v>22</v>
      </c>
      <c r="K1" s="30" t="s">
        <v>21</v>
      </c>
      <c r="L1" s="30" t="s">
        <v>22</v>
      </c>
    </row>
    <row r="2" spans="1:12" x14ac:dyDescent="0.35">
      <c r="B2" s="31" t="s">
        <v>2</v>
      </c>
      <c r="C2" s="31" t="s">
        <v>2</v>
      </c>
      <c r="D2" s="30" t="s">
        <v>17</v>
      </c>
      <c r="E2" s="30" t="s">
        <v>19</v>
      </c>
      <c r="F2" s="30" t="s">
        <v>74</v>
      </c>
      <c r="G2" s="30"/>
      <c r="H2" s="30">
        <v>2027</v>
      </c>
      <c r="I2" s="30"/>
      <c r="J2" s="30" t="s">
        <v>158</v>
      </c>
      <c r="K2" s="30"/>
      <c r="L2" s="30" t="s">
        <v>159</v>
      </c>
    </row>
    <row r="3" spans="1:12" x14ac:dyDescent="0.35">
      <c r="A3" t="s">
        <v>62</v>
      </c>
      <c r="B3" s="28" t="s">
        <v>3</v>
      </c>
      <c r="C3" s="28" t="s">
        <v>4</v>
      </c>
      <c r="D3" s="29">
        <v>347598.4</v>
      </c>
      <c r="E3" s="29">
        <v>800690.00699999998</v>
      </c>
      <c r="F3" s="35">
        <f>IFERROR(E3/D3-1,0)</f>
        <v>1.3034916357497615</v>
      </c>
      <c r="G3" s="36">
        <v>0</v>
      </c>
      <c r="H3" s="29">
        <f t="shared" ref="H3:H25" si="0">IF(ISBLANK($G3),($E3*(1+$F3)),($E3*(1+$G3)))</f>
        <v>800690.00699999998</v>
      </c>
      <c r="I3" s="36">
        <v>0</v>
      </c>
      <c r="J3" s="29">
        <f>IF(ISBLANK($I3),($H3*(1+$F3)),($H3*(1+$I3)))</f>
        <v>800690.00699999998</v>
      </c>
      <c r="K3" s="36">
        <v>0</v>
      </c>
      <c r="L3" s="29">
        <f>IF(ISBLANK($K3),($J3*(1+$F3)),($J3*(1+$K3)))</f>
        <v>800690.00699999998</v>
      </c>
    </row>
    <row r="4" spans="1:12" x14ac:dyDescent="0.35">
      <c r="A4" t="s">
        <v>96</v>
      </c>
      <c r="B4" s="28" t="s">
        <v>3</v>
      </c>
      <c r="C4" s="28" t="s">
        <v>107</v>
      </c>
      <c r="D4" s="29">
        <v>0</v>
      </c>
      <c r="E4" s="29">
        <v>0</v>
      </c>
      <c r="F4" s="35">
        <f t="shared" ref="F4:F25" si="1">IFERROR(E4/D4-1,0)</f>
        <v>0</v>
      </c>
      <c r="G4" s="36">
        <v>0</v>
      </c>
      <c r="H4" s="29">
        <f t="shared" si="0"/>
        <v>0</v>
      </c>
      <c r="I4" s="36">
        <v>0</v>
      </c>
      <c r="J4" s="29">
        <f t="shared" ref="J4:J25" si="2">IF(ISBLANK($I4),($H4*(1+$F4)),($H4*(1+$I4)))</f>
        <v>0</v>
      </c>
      <c r="K4" s="36">
        <v>0</v>
      </c>
      <c r="L4" s="29">
        <f t="shared" ref="L4:L25" si="3">IF(ISBLANK($K4),($J4*(1+$F4)),($J4*(1+$K4)))</f>
        <v>0</v>
      </c>
    </row>
    <row r="5" spans="1:12" x14ac:dyDescent="0.35">
      <c r="A5" t="s">
        <v>63</v>
      </c>
      <c r="B5" s="28" t="s">
        <v>3</v>
      </c>
      <c r="C5" s="28" t="s">
        <v>5</v>
      </c>
      <c r="D5" s="29">
        <v>9750.3700000000008</v>
      </c>
      <c r="E5" s="29">
        <v>9004.2199999999993</v>
      </c>
      <c r="F5" s="35">
        <f t="shared" si="1"/>
        <v>-7.6525301091138198E-2</v>
      </c>
      <c r="G5" s="36">
        <v>0</v>
      </c>
      <c r="H5" s="29">
        <f t="shared" si="0"/>
        <v>9004.2199999999993</v>
      </c>
      <c r="I5" s="36">
        <v>0</v>
      </c>
      <c r="J5" s="29">
        <f t="shared" si="2"/>
        <v>9004.2199999999993</v>
      </c>
      <c r="K5" s="36">
        <v>0</v>
      </c>
      <c r="L5" s="29">
        <f t="shared" si="3"/>
        <v>9004.2199999999993</v>
      </c>
    </row>
    <row r="6" spans="1:12" x14ac:dyDescent="0.35">
      <c r="A6" t="s">
        <v>64</v>
      </c>
      <c r="B6" s="28" t="s">
        <v>3</v>
      </c>
      <c r="C6" s="28" t="s">
        <v>6</v>
      </c>
      <c r="D6" s="29">
        <v>168233.88</v>
      </c>
      <c r="E6" s="29">
        <v>49202.28</v>
      </c>
      <c r="F6" s="35">
        <f t="shared" si="1"/>
        <v>-0.70753643677480427</v>
      </c>
      <c r="G6" s="36">
        <v>0</v>
      </c>
      <c r="H6" s="29">
        <f t="shared" si="0"/>
        <v>49202.28</v>
      </c>
      <c r="I6" s="36">
        <v>0</v>
      </c>
      <c r="J6" s="29">
        <f t="shared" si="2"/>
        <v>49202.28</v>
      </c>
      <c r="K6" s="36">
        <v>0</v>
      </c>
      <c r="L6" s="29">
        <f t="shared" si="3"/>
        <v>49202.28</v>
      </c>
    </row>
    <row r="7" spans="1:12" x14ac:dyDescent="0.35">
      <c r="A7" t="s">
        <v>65</v>
      </c>
      <c r="B7" s="28" t="s">
        <v>3</v>
      </c>
      <c r="C7" s="28" t="s">
        <v>7</v>
      </c>
      <c r="D7" s="29">
        <v>130797</v>
      </c>
      <c r="E7" s="29">
        <v>36685.949999999997</v>
      </c>
      <c r="F7" s="35">
        <f t="shared" si="1"/>
        <v>-0.71951994311796152</v>
      </c>
      <c r="G7" s="36">
        <v>0</v>
      </c>
      <c r="H7" s="29">
        <f t="shared" si="0"/>
        <v>36685.949999999997</v>
      </c>
      <c r="I7" s="36">
        <v>0</v>
      </c>
      <c r="J7" s="29">
        <f t="shared" si="2"/>
        <v>36685.949999999997</v>
      </c>
      <c r="K7" s="36">
        <v>0</v>
      </c>
      <c r="L7" s="29">
        <f t="shared" si="3"/>
        <v>36685.949999999997</v>
      </c>
    </row>
    <row r="8" spans="1:12" x14ac:dyDescent="0.35">
      <c r="A8" t="s">
        <v>66</v>
      </c>
      <c r="B8" s="28" t="s">
        <v>3</v>
      </c>
      <c r="C8" s="28" t="s">
        <v>8</v>
      </c>
      <c r="D8" s="29">
        <v>1045532.74</v>
      </c>
      <c r="E8" s="29">
        <v>1380796.74</v>
      </c>
      <c r="F8" s="35">
        <f t="shared" si="1"/>
        <v>0.32066332040448575</v>
      </c>
      <c r="G8" s="36">
        <v>0</v>
      </c>
      <c r="H8" s="29">
        <f t="shared" si="0"/>
        <v>1380796.74</v>
      </c>
      <c r="I8" s="36">
        <v>0</v>
      </c>
      <c r="J8" s="29">
        <f t="shared" si="2"/>
        <v>1380796.74</v>
      </c>
      <c r="K8" s="36">
        <v>0</v>
      </c>
      <c r="L8" s="29">
        <f t="shared" si="3"/>
        <v>1380796.74</v>
      </c>
    </row>
    <row r="9" spans="1:12" x14ac:dyDescent="0.35">
      <c r="A9" t="s">
        <v>67</v>
      </c>
      <c r="B9" s="28" t="s">
        <v>3</v>
      </c>
      <c r="C9" s="28" t="s">
        <v>9</v>
      </c>
      <c r="D9" s="29">
        <v>66841.8</v>
      </c>
      <c r="E9" s="29">
        <v>49427.32</v>
      </c>
      <c r="F9" s="35">
        <f t="shared" si="1"/>
        <v>-0.2605327803859262</v>
      </c>
      <c r="G9" s="36">
        <v>0</v>
      </c>
      <c r="H9" s="29">
        <f t="shared" si="0"/>
        <v>49427.32</v>
      </c>
      <c r="I9" s="36">
        <v>0</v>
      </c>
      <c r="J9" s="29">
        <f t="shared" si="2"/>
        <v>49427.32</v>
      </c>
      <c r="K9" s="36">
        <v>0</v>
      </c>
      <c r="L9" s="29">
        <f t="shared" si="3"/>
        <v>49427.32</v>
      </c>
    </row>
    <row r="10" spans="1:12" x14ac:dyDescent="0.35">
      <c r="A10" t="s">
        <v>97</v>
      </c>
      <c r="B10" s="28" t="s">
        <v>3</v>
      </c>
      <c r="C10" s="28" t="s">
        <v>108</v>
      </c>
      <c r="D10" s="29">
        <v>0</v>
      </c>
      <c r="E10" s="29">
        <v>0</v>
      </c>
      <c r="F10" s="35">
        <f t="shared" ref="F10" si="4">IFERROR(E10/D10-1,0)</f>
        <v>0</v>
      </c>
      <c r="G10" s="36">
        <v>0</v>
      </c>
      <c r="H10" s="29">
        <f t="shared" si="0"/>
        <v>0</v>
      </c>
      <c r="I10" s="36">
        <v>0</v>
      </c>
      <c r="J10" s="29">
        <f t="shared" si="2"/>
        <v>0</v>
      </c>
      <c r="K10" s="36">
        <v>0</v>
      </c>
      <c r="L10" s="29">
        <f t="shared" si="3"/>
        <v>0</v>
      </c>
    </row>
    <row r="11" spans="1:12" x14ac:dyDescent="0.35">
      <c r="A11" t="s">
        <v>68</v>
      </c>
      <c r="B11" s="28" t="s">
        <v>3</v>
      </c>
      <c r="C11" s="28" t="s">
        <v>10</v>
      </c>
      <c r="D11" s="29">
        <v>125.9</v>
      </c>
      <c r="E11" s="29"/>
      <c r="F11" s="35">
        <f t="shared" si="1"/>
        <v>-1</v>
      </c>
      <c r="G11" s="36">
        <v>0</v>
      </c>
      <c r="H11" s="29">
        <f t="shared" si="0"/>
        <v>0</v>
      </c>
      <c r="I11" s="36">
        <v>0</v>
      </c>
      <c r="J11" s="29">
        <f t="shared" si="2"/>
        <v>0</v>
      </c>
      <c r="K11" s="36">
        <v>0</v>
      </c>
      <c r="L11" s="29">
        <f t="shared" si="3"/>
        <v>0</v>
      </c>
    </row>
    <row r="12" spans="1:12" x14ac:dyDescent="0.35">
      <c r="A12" t="s">
        <v>69</v>
      </c>
      <c r="B12" s="28" t="s">
        <v>3</v>
      </c>
      <c r="C12" s="28" t="s">
        <v>11</v>
      </c>
      <c r="D12" s="29">
        <v>18245.75</v>
      </c>
      <c r="E12" s="29">
        <v>40000.92</v>
      </c>
      <c r="F12" s="35">
        <f t="shared" si="1"/>
        <v>1.1923417782223256</v>
      </c>
      <c r="G12" s="36">
        <v>0</v>
      </c>
      <c r="H12" s="29">
        <f t="shared" si="0"/>
        <v>40000.92</v>
      </c>
      <c r="I12" s="36">
        <v>0</v>
      </c>
      <c r="J12" s="29">
        <f t="shared" si="2"/>
        <v>40000.92</v>
      </c>
      <c r="K12" s="36">
        <v>0</v>
      </c>
      <c r="L12" s="29">
        <f t="shared" si="3"/>
        <v>40000.92</v>
      </c>
    </row>
    <row r="13" spans="1:12" x14ac:dyDescent="0.35">
      <c r="A13" t="s">
        <v>70</v>
      </c>
      <c r="B13" s="28" t="s">
        <v>3</v>
      </c>
      <c r="C13" s="28" t="s">
        <v>12</v>
      </c>
      <c r="D13" s="29">
        <v>67468.73</v>
      </c>
      <c r="E13" s="29">
        <v>39685.129999999997</v>
      </c>
      <c r="F13" s="35">
        <f t="shared" si="1"/>
        <v>-0.4117996588938313</v>
      </c>
      <c r="G13" s="36">
        <v>0</v>
      </c>
      <c r="H13" s="29">
        <f t="shared" si="0"/>
        <v>39685.129999999997</v>
      </c>
      <c r="I13" s="36">
        <v>0</v>
      </c>
      <c r="J13" s="29">
        <f t="shared" si="2"/>
        <v>39685.129999999997</v>
      </c>
      <c r="K13" s="36">
        <v>0</v>
      </c>
      <c r="L13" s="29">
        <f t="shared" si="3"/>
        <v>39685.129999999997</v>
      </c>
    </row>
    <row r="14" spans="1:12" x14ac:dyDescent="0.35">
      <c r="A14" t="s">
        <v>98</v>
      </c>
      <c r="B14" s="28" t="s">
        <v>3</v>
      </c>
      <c r="C14" s="28" t="s">
        <v>110</v>
      </c>
      <c r="D14" s="29">
        <v>0</v>
      </c>
      <c r="E14" s="29">
        <v>0</v>
      </c>
      <c r="F14" s="35">
        <f t="shared" ref="F14:F19" si="5">IFERROR(E14/D14-1,0)</f>
        <v>0</v>
      </c>
      <c r="G14" s="36">
        <v>0</v>
      </c>
      <c r="H14" s="29">
        <f t="shared" si="0"/>
        <v>0</v>
      </c>
      <c r="I14" s="36">
        <v>0</v>
      </c>
      <c r="J14" s="29">
        <f t="shared" si="2"/>
        <v>0</v>
      </c>
      <c r="K14" s="36">
        <v>0</v>
      </c>
      <c r="L14" s="29">
        <f t="shared" si="3"/>
        <v>0</v>
      </c>
    </row>
    <row r="15" spans="1:12" x14ac:dyDescent="0.35">
      <c r="A15" t="s">
        <v>99</v>
      </c>
      <c r="B15" s="28" t="s">
        <v>3</v>
      </c>
      <c r="C15" s="28" t="s">
        <v>111</v>
      </c>
      <c r="D15" s="29">
        <v>0</v>
      </c>
      <c r="E15" s="29">
        <v>0</v>
      </c>
      <c r="F15" s="35">
        <f t="shared" si="5"/>
        <v>0</v>
      </c>
      <c r="G15" s="36">
        <v>0</v>
      </c>
      <c r="H15" s="29">
        <f t="shared" si="0"/>
        <v>0</v>
      </c>
      <c r="I15" s="36">
        <v>0</v>
      </c>
      <c r="J15" s="29">
        <f t="shared" si="2"/>
        <v>0</v>
      </c>
      <c r="K15" s="36">
        <v>0</v>
      </c>
      <c r="L15" s="29">
        <f t="shared" si="3"/>
        <v>0</v>
      </c>
    </row>
    <row r="16" spans="1:12" x14ac:dyDescent="0.35">
      <c r="A16" t="s">
        <v>100</v>
      </c>
      <c r="B16" s="28" t="s">
        <v>3</v>
      </c>
      <c r="C16" s="28" t="s">
        <v>109</v>
      </c>
      <c r="D16" s="29">
        <v>0</v>
      </c>
      <c r="E16" s="29">
        <v>0</v>
      </c>
      <c r="F16" s="35">
        <f t="shared" si="5"/>
        <v>0</v>
      </c>
      <c r="G16" s="36">
        <v>0</v>
      </c>
      <c r="H16" s="29">
        <f t="shared" si="0"/>
        <v>0</v>
      </c>
      <c r="I16" s="36">
        <v>0</v>
      </c>
      <c r="J16" s="29">
        <f t="shared" si="2"/>
        <v>0</v>
      </c>
      <c r="K16" s="36">
        <v>0</v>
      </c>
      <c r="L16" s="29">
        <f t="shared" si="3"/>
        <v>0</v>
      </c>
    </row>
    <row r="17" spans="1:12" x14ac:dyDescent="0.35">
      <c r="A17" t="s">
        <v>101</v>
      </c>
      <c r="B17" s="28" t="s">
        <v>3</v>
      </c>
      <c r="C17" s="28" t="s">
        <v>112</v>
      </c>
      <c r="D17" s="29">
        <v>0</v>
      </c>
      <c r="E17" s="29">
        <v>0</v>
      </c>
      <c r="F17" s="35">
        <f t="shared" si="5"/>
        <v>0</v>
      </c>
      <c r="G17" s="36">
        <v>0</v>
      </c>
      <c r="H17" s="29">
        <f t="shared" si="0"/>
        <v>0</v>
      </c>
      <c r="I17" s="36">
        <v>0</v>
      </c>
      <c r="J17" s="29">
        <f t="shared" si="2"/>
        <v>0</v>
      </c>
      <c r="K17" s="36">
        <v>0</v>
      </c>
      <c r="L17" s="29">
        <f t="shared" si="3"/>
        <v>0</v>
      </c>
    </row>
    <row r="18" spans="1:12" x14ac:dyDescent="0.35">
      <c r="A18" t="s">
        <v>102</v>
      </c>
      <c r="B18" s="28" t="s">
        <v>3</v>
      </c>
      <c r="C18" s="28" t="s">
        <v>113</v>
      </c>
      <c r="D18" s="29">
        <v>0</v>
      </c>
      <c r="E18" s="29">
        <v>0</v>
      </c>
      <c r="F18" s="35">
        <f t="shared" si="5"/>
        <v>0</v>
      </c>
      <c r="G18" s="36">
        <v>0</v>
      </c>
      <c r="H18" s="29">
        <f t="shared" si="0"/>
        <v>0</v>
      </c>
      <c r="I18" s="36">
        <v>0</v>
      </c>
      <c r="J18" s="29">
        <f t="shared" si="2"/>
        <v>0</v>
      </c>
      <c r="K18" s="36">
        <v>0</v>
      </c>
      <c r="L18" s="29">
        <f t="shared" si="3"/>
        <v>0</v>
      </c>
    </row>
    <row r="19" spans="1:12" x14ac:dyDescent="0.35">
      <c r="A19" t="s">
        <v>103</v>
      </c>
      <c r="B19" s="28" t="s">
        <v>3</v>
      </c>
      <c r="C19" s="28" t="s">
        <v>114</v>
      </c>
      <c r="D19" s="29">
        <v>0</v>
      </c>
      <c r="E19" s="29">
        <v>0</v>
      </c>
      <c r="F19" s="35">
        <f t="shared" si="5"/>
        <v>0</v>
      </c>
      <c r="G19" s="36">
        <v>0</v>
      </c>
      <c r="H19" s="29">
        <f t="shared" si="0"/>
        <v>0</v>
      </c>
      <c r="I19" s="36">
        <v>0</v>
      </c>
      <c r="J19" s="29">
        <f t="shared" si="2"/>
        <v>0</v>
      </c>
      <c r="K19" s="36">
        <v>0</v>
      </c>
      <c r="L19" s="29">
        <f t="shared" si="3"/>
        <v>0</v>
      </c>
    </row>
    <row r="20" spans="1:12" x14ac:dyDescent="0.35">
      <c r="A20" t="s">
        <v>51</v>
      </c>
      <c r="B20" s="28" t="s">
        <v>3</v>
      </c>
      <c r="C20" s="28" t="s">
        <v>13</v>
      </c>
      <c r="D20" s="29">
        <v>14.32</v>
      </c>
      <c r="E20" s="29">
        <v>0.34</v>
      </c>
      <c r="F20" s="35">
        <f t="shared" si="1"/>
        <v>-0.97625698324022347</v>
      </c>
      <c r="G20" s="36">
        <v>0</v>
      </c>
      <c r="H20" s="29">
        <f t="shared" si="0"/>
        <v>0.34</v>
      </c>
      <c r="I20" s="36">
        <v>0</v>
      </c>
      <c r="J20" s="29">
        <f t="shared" si="2"/>
        <v>0.34</v>
      </c>
      <c r="K20" s="36">
        <v>0</v>
      </c>
      <c r="L20" s="29">
        <f t="shared" si="3"/>
        <v>0.34</v>
      </c>
    </row>
    <row r="21" spans="1:12" x14ac:dyDescent="0.35">
      <c r="A21" t="s">
        <v>104</v>
      </c>
      <c r="B21" s="28" t="s">
        <v>3</v>
      </c>
      <c r="C21" s="28" t="s">
        <v>115</v>
      </c>
      <c r="D21" s="29">
        <v>0</v>
      </c>
      <c r="E21" s="29">
        <v>0</v>
      </c>
      <c r="F21" s="35">
        <f t="shared" ref="F21:F23" si="6">IFERROR(E21/D21-1,0)</f>
        <v>0</v>
      </c>
      <c r="G21" s="36">
        <v>0</v>
      </c>
      <c r="H21" s="29">
        <f t="shared" si="0"/>
        <v>0</v>
      </c>
      <c r="I21" s="36">
        <v>0</v>
      </c>
      <c r="J21" s="29">
        <f t="shared" si="2"/>
        <v>0</v>
      </c>
      <c r="K21" s="36">
        <v>0</v>
      </c>
      <c r="L21" s="29">
        <f t="shared" si="3"/>
        <v>0</v>
      </c>
    </row>
    <row r="22" spans="1:12" x14ac:dyDescent="0.35">
      <c r="A22" t="s">
        <v>105</v>
      </c>
      <c r="B22" s="28" t="s">
        <v>3</v>
      </c>
      <c r="C22" s="28" t="s">
        <v>116</v>
      </c>
      <c r="D22" s="29">
        <v>0</v>
      </c>
      <c r="E22" s="29">
        <v>0</v>
      </c>
      <c r="F22" s="35">
        <f t="shared" si="6"/>
        <v>0</v>
      </c>
      <c r="G22" s="36">
        <v>0</v>
      </c>
      <c r="H22" s="29">
        <f t="shared" si="0"/>
        <v>0</v>
      </c>
      <c r="I22" s="36">
        <v>0</v>
      </c>
      <c r="J22" s="29">
        <f t="shared" si="2"/>
        <v>0</v>
      </c>
      <c r="K22" s="36">
        <v>0</v>
      </c>
      <c r="L22" s="29">
        <f t="shared" si="3"/>
        <v>0</v>
      </c>
    </row>
    <row r="23" spans="1:12" x14ac:dyDescent="0.35">
      <c r="A23" t="s">
        <v>106</v>
      </c>
      <c r="B23" s="28" t="s">
        <v>3</v>
      </c>
      <c r="C23" s="28" t="s">
        <v>117</v>
      </c>
      <c r="D23" s="29">
        <v>0</v>
      </c>
      <c r="E23" s="29">
        <v>0</v>
      </c>
      <c r="F23" s="35">
        <f t="shared" si="6"/>
        <v>0</v>
      </c>
      <c r="G23" s="36">
        <v>0</v>
      </c>
      <c r="H23" s="29">
        <f t="shared" si="0"/>
        <v>0</v>
      </c>
      <c r="I23" s="36">
        <v>0</v>
      </c>
      <c r="J23" s="29">
        <f t="shared" si="2"/>
        <v>0</v>
      </c>
      <c r="K23" s="36">
        <v>0</v>
      </c>
      <c r="L23" s="29">
        <f t="shared" si="3"/>
        <v>0</v>
      </c>
    </row>
    <row r="24" spans="1:12" x14ac:dyDescent="0.35">
      <c r="A24" t="s">
        <v>58</v>
      </c>
      <c r="B24" s="28" t="s">
        <v>3</v>
      </c>
      <c r="C24" s="28" t="s">
        <v>14</v>
      </c>
      <c r="D24" s="29">
        <v>2839523.62</v>
      </c>
      <c r="E24" s="29">
        <v>4466769.9239999996</v>
      </c>
      <c r="F24" s="35">
        <f t="shared" si="1"/>
        <v>0.57307017717288766</v>
      </c>
      <c r="G24" s="36">
        <v>0</v>
      </c>
      <c r="H24" s="29">
        <f t="shared" si="0"/>
        <v>4466769.9239999996</v>
      </c>
      <c r="I24" s="36">
        <v>0</v>
      </c>
      <c r="J24" s="29">
        <f t="shared" si="2"/>
        <v>4466769.9239999996</v>
      </c>
      <c r="K24" s="36">
        <v>0</v>
      </c>
      <c r="L24" s="29">
        <f t="shared" si="3"/>
        <v>4466769.9239999996</v>
      </c>
    </row>
    <row r="25" spans="1:12" x14ac:dyDescent="0.35">
      <c r="A25" t="s">
        <v>59</v>
      </c>
      <c r="B25" s="28" t="s">
        <v>3</v>
      </c>
      <c r="C25" s="28" t="s">
        <v>15</v>
      </c>
      <c r="D25" s="29">
        <v>569156.26</v>
      </c>
      <c r="E25" s="29">
        <v>798527.1605</v>
      </c>
      <c r="F25" s="35">
        <f t="shared" si="1"/>
        <v>0.40300162999173539</v>
      </c>
      <c r="G25" s="36">
        <v>0</v>
      </c>
      <c r="H25" s="29">
        <f t="shared" si="0"/>
        <v>798527.1605</v>
      </c>
      <c r="I25" s="36">
        <v>0</v>
      </c>
      <c r="J25" s="29">
        <f t="shared" si="2"/>
        <v>798527.1605</v>
      </c>
      <c r="K25" s="36">
        <v>0</v>
      </c>
      <c r="L25" s="29">
        <f t="shared" si="3"/>
        <v>798527.1605</v>
      </c>
    </row>
    <row r="26" spans="1:12" s="1" customFormat="1" x14ac:dyDescent="0.35">
      <c r="B26" s="32"/>
      <c r="C26" s="32"/>
      <c r="D26" s="33">
        <f>SUM(D3:D25)</f>
        <v>5263288.7699999996</v>
      </c>
      <c r="E26" s="33">
        <f>SUM(E3:E25)</f>
        <v>7670789.9914999986</v>
      </c>
      <c r="F26" s="34">
        <f t="shared" ref="F26" si="7">E26/D26-1</f>
        <v>0.45741385789478528</v>
      </c>
      <c r="G26" s="34">
        <f>H26/E26-1</f>
        <v>0</v>
      </c>
      <c r="H26" s="33">
        <f>SUM(H3:H25)</f>
        <v>7670789.9914999986</v>
      </c>
      <c r="I26" s="34">
        <f>J26/H26-1</f>
        <v>0</v>
      </c>
      <c r="J26" s="33">
        <f>SUM(J3:J25)</f>
        <v>7670789.9914999986</v>
      </c>
      <c r="K26" s="34">
        <f>L26/J26-1</f>
        <v>0</v>
      </c>
      <c r="L26" s="33">
        <f>SUM(L3:L25)</f>
        <v>7670789.9914999986</v>
      </c>
    </row>
  </sheetData>
  <sheetProtection algorithmName="SHA-512" hashValue="7mUJJf7dpSpkS28Og2XXoBgUPueoQCDjwVbP6eIgkJchPuFpGlZUgza9JKjYcH2gENZnjjwPuI3xs3pGXfbujA==" saltValue="EDkzqFDeqIb6bkYIw7joag==" spinCount="100000" sheet="1" objects="1" scenarios="1"/>
  <pageMargins left="0.7" right="0.7" top="0.75" bottom="0.75" header="0.3" footer="0.3"/>
  <customProperties>
    <customPr name="isReportSheetChanged" r:id="rId1"/>
  </customProperties>
</worksheet>
</file>

<file path=docMetadata/LabelInfo.xml><?xml version="1.0" encoding="utf-8"?>
<clbl:labelList xmlns:clbl="http://schemas.microsoft.com/office/2020/mipLabelMetadata">
  <clbl:label id="{34fe372f-dfee-4f9b-b101-6a77f0c3c3b5}" enabled="1" method="Standard" siteId="{2cf835d1-453b-472b-9b90-3f6d854ad75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Investment Case Asks - Summary</vt:lpstr>
      <vt:lpstr>Investment Case Asks - Monthly</vt:lpstr>
      <vt:lpstr>Questions to Ask</vt:lpstr>
      <vt:lpstr>Baseline Support --&gt;</vt:lpstr>
      <vt:lpstr>Base - Payroll</vt:lpstr>
      <vt:lpstr>Base - Non-Payroll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Binner, Sharleen</dc:creator>
  <cp:lastModifiedBy>Binner, Sharleen</cp:lastModifiedBy>
  <dcterms:created xsi:type="dcterms:W3CDTF">2015-06-05T18:17:20Z</dcterms:created>
  <dcterms:modified xsi:type="dcterms:W3CDTF">2026-07-08T23:26:13Z</dcterms:modified>
</cp:coreProperties>
</file>