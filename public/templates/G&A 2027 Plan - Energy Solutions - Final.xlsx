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ad.prologis.com\offices\North America\USA\San Francisco\corpfpa\G&amp;A\Reforecast Folders\2027\"/>
    </mc:Choice>
  </mc:AlternateContent>
  <xr:revisionPtr revIDLastSave="0" documentId="13_ncr:1_{C89678F2-F509-4005-825D-696EC53896B5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ummary" sheetId="1" r:id="rId1"/>
    <sheet name="Investment Case Asks - Summary" sheetId="2" r:id="rId2"/>
    <sheet name="Investment Case Asks - Monthly" sheetId="3" r:id="rId3"/>
    <sheet name="Questions to Ask" sheetId="4" r:id="rId4"/>
    <sheet name="Baseline Support --&gt;" sheetId="5" r:id="rId5"/>
    <sheet name="Base - Payroll" sheetId="6" r:id="rId6"/>
    <sheet name="Base - Non-Payroll" sheetId="7" r:id="rId7"/>
  </sheets>
  <definedNames>
    <definedName name="dvTypeOfExpenseList">'Base - Non-Payroll'!$A$3:$A$25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4" i="1" l="1"/>
  <c r="AA36" i="1" s="1"/>
  <c r="AA73" i="1"/>
  <c r="AA35" i="1" s="1"/>
  <c r="AA72" i="1"/>
  <c r="AA34" i="1" s="1"/>
  <c r="AA71" i="1"/>
  <c r="AA33" i="1" s="1"/>
  <c r="AA70" i="1"/>
  <c r="AA32" i="1" s="1"/>
  <c r="AA69" i="1"/>
  <c r="AA31" i="1" s="1"/>
  <c r="AA68" i="1"/>
  <c r="AA30" i="1" s="1"/>
  <c r="AA67" i="1"/>
  <c r="AA29" i="1" s="1"/>
  <c r="AA66" i="1"/>
  <c r="AA28" i="1" s="1"/>
  <c r="AA65" i="1"/>
  <c r="AA27" i="1" s="1"/>
  <c r="AA64" i="1"/>
  <c r="AA26" i="1" s="1"/>
  <c r="AA63" i="1"/>
  <c r="AA25" i="1" s="1"/>
  <c r="AA62" i="1"/>
  <c r="AA24" i="1" s="1"/>
  <c r="AA61" i="1"/>
  <c r="AA23" i="1" s="1"/>
  <c r="AA60" i="1"/>
  <c r="AA22" i="1" s="1"/>
  <c r="AA59" i="1"/>
  <c r="AA21" i="1" s="1"/>
  <c r="AA58" i="1"/>
  <c r="AA20" i="1" s="1"/>
  <c r="AA57" i="1"/>
  <c r="AA19" i="1" s="1"/>
  <c r="AA56" i="1"/>
  <c r="AA18" i="1" s="1"/>
  <c r="AA55" i="1"/>
  <c r="AA17" i="1" s="1"/>
  <c r="AA54" i="1"/>
  <c r="AA16" i="1" s="1"/>
  <c r="AA51" i="1"/>
  <c r="AA13" i="1" s="1"/>
  <c r="AA50" i="1"/>
  <c r="AA12" i="1" s="1"/>
  <c r="AA49" i="1"/>
  <c r="AA11" i="1" s="1"/>
  <c r="AA48" i="1"/>
  <c r="AA10" i="1" s="1"/>
  <c r="AA47" i="1"/>
  <c r="AA9" i="1" s="1"/>
  <c r="AA46" i="1"/>
  <c r="AA8" i="1" s="1"/>
  <c r="AA45" i="1"/>
  <c r="AA7" i="1" s="1"/>
  <c r="AA44" i="1"/>
  <c r="AA6" i="1" s="1"/>
  <c r="AA43" i="1"/>
  <c r="AB43" i="1"/>
  <c r="U74" i="1"/>
  <c r="U36" i="1" s="1"/>
  <c r="U73" i="1"/>
  <c r="U35" i="1" s="1"/>
  <c r="U72" i="1"/>
  <c r="U34" i="1" s="1"/>
  <c r="U71" i="1"/>
  <c r="U33" i="1" s="1"/>
  <c r="U70" i="1"/>
  <c r="U32" i="1" s="1"/>
  <c r="U69" i="1"/>
  <c r="U31" i="1" s="1"/>
  <c r="U68" i="1"/>
  <c r="U30" i="1" s="1"/>
  <c r="U67" i="1"/>
  <c r="U29" i="1" s="1"/>
  <c r="U66" i="1"/>
  <c r="U28" i="1" s="1"/>
  <c r="U65" i="1"/>
  <c r="U27" i="1" s="1"/>
  <c r="U64" i="1"/>
  <c r="U26" i="1" s="1"/>
  <c r="U63" i="1"/>
  <c r="U25" i="1" s="1"/>
  <c r="U62" i="1"/>
  <c r="U24" i="1" s="1"/>
  <c r="U61" i="1"/>
  <c r="U23" i="1" s="1"/>
  <c r="U60" i="1"/>
  <c r="U22" i="1" s="1"/>
  <c r="U59" i="1"/>
  <c r="U21" i="1" s="1"/>
  <c r="U58" i="1"/>
  <c r="U20" i="1" s="1"/>
  <c r="U57" i="1"/>
  <c r="U19" i="1" s="1"/>
  <c r="U56" i="1"/>
  <c r="U18" i="1" s="1"/>
  <c r="U55" i="1"/>
  <c r="U17" i="1" s="1"/>
  <c r="U54" i="1"/>
  <c r="U16" i="1" s="1"/>
  <c r="U51" i="1"/>
  <c r="U13" i="1" s="1"/>
  <c r="U50" i="1"/>
  <c r="U12" i="1" s="1"/>
  <c r="U49" i="1"/>
  <c r="U11" i="1" s="1"/>
  <c r="V49" i="1"/>
  <c r="U48" i="1"/>
  <c r="U10" i="1" s="1"/>
  <c r="U47" i="1"/>
  <c r="U9" i="1" s="1"/>
  <c r="U46" i="1"/>
  <c r="U8" i="1" s="1"/>
  <c r="U45" i="1"/>
  <c r="U7" i="1" s="1"/>
  <c r="U44" i="1"/>
  <c r="U6" i="1" s="1"/>
  <c r="U43" i="1"/>
  <c r="U5" i="1" s="1"/>
  <c r="V43" i="1"/>
  <c r="O74" i="1"/>
  <c r="O36" i="1" s="1"/>
  <c r="O73" i="1"/>
  <c r="O35" i="1" s="1"/>
  <c r="O72" i="1"/>
  <c r="O34" i="1" s="1"/>
  <c r="O71" i="1"/>
  <c r="O33" i="1" s="1"/>
  <c r="O70" i="1"/>
  <c r="O32" i="1" s="1"/>
  <c r="O69" i="1"/>
  <c r="O31" i="1" s="1"/>
  <c r="O68" i="1"/>
  <c r="O30" i="1" s="1"/>
  <c r="O67" i="1"/>
  <c r="O29" i="1" s="1"/>
  <c r="O66" i="1"/>
  <c r="O28" i="1" s="1"/>
  <c r="O65" i="1"/>
  <c r="O27" i="1" s="1"/>
  <c r="O64" i="1"/>
  <c r="O26" i="1" s="1"/>
  <c r="O63" i="1"/>
  <c r="O25" i="1" s="1"/>
  <c r="O62" i="1"/>
  <c r="O24" i="1" s="1"/>
  <c r="O61" i="1"/>
  <c r="O23" i="1" s="1"/>
  <c r="O60" i="1"/>
  <c r="O22" i="1" s="1"/>
  <c r="O59" i="1"/>
  <c r="O21" i="1" s="1"/>
  <c r="O58" i="1"/>
  <c r="O20" i="1" s="1"/>
  <c r="O57" i="1"/>
  <c r="O19" i="1" s="1"/>
  <c r="O56" i="1"/>
  <c r="O18" i="1" s="1"/>
  <c r="O55" i="1"/>
  <c r="O17" i="1" s="1"/>
  <c r="O54" i="1"/>
  <c r="O16" i="1" s="1"/>
  <c r="O51" i="1"/>
  <c r="O13" i="1" s="1"/>
  <c r="O50" i="1"/>
  <c r="O12" i="1" s="1"/>
  <c r="O49" i="1"/>
  <c r="O11" i="1" s="1"/>
  <c r="O48" i="1"/>
  <c r="O10" i="1" s="1"/>
  <c r="O47" i="1"/>
  <c r="O9" i="1" s="1"/>
  <c r="O46" i="1"/>
  <c r="O8" i="1" s="1"/>
  <c r="O45" i="1"/>
  <c r="O7" i="1" s="1"/>
  <c r="O44" i="1"/>
  <c r="O6" i="1" s="1"/>
  <c r="O43" i="1"/>
  <c r="O5" i="1" s="1"/>
  <c r="P43" i="1"/>
  <c r="I74" i="1"/>
  <c r="I36" i="1" s="1"/>
  <c r="I73" i="1"/>
  <c r="I35" i="1" s="1"/>
  <c r="I72" i="1"/>
  <c r="I34" i="1" s="1"/>
  <c r="I71" i="1"/>
  <c r="I33" i="1" s="1"/>
  <c r="I70" i="1"/>
  <c r="I32" i="1" s="1"/>
  <c r="I69" i="1"/>
  <c r="I31" i="1" s="1"/>
  <c r="I68" i="1"/>
  <c r="I30" i="1" s="1"/>
  <c r="I67" i="1"/>
  <c r="I29" i="1" s="1"/>
  <c r="I66" i="1"/>
  <c r="I28" i="1" s="1"/>
  <c r="I65" i="1"/>
  <c r="I27" i="1" s="1"/>
  <c r="I64" i="1"/>
  <c r="I26" i="1" s="1"/>
  <c r="I63" i="1"/>
  <c r="I25" i="1" s="1"/>
  <c r="I62" i="1"/>
  <c r="I24" i="1" s="1"/>
  <c r="I61" i="1"/>
  <c r="I23" i="1" s="1"/>
  <c r="I60" i="1"/>
  <c r="I22" i="1" s="1"/>
  <c r="I59" i="1"/>
  <c r="I21" i="1" s="1"/>
  <c r="I58" i="1"/>
  <c r="I20" i="1" s="1"/>
  <c r="I57" i="1"/>
  <c r="I19" i="1" s="1"/>
  <c r="I56" i="1"/>
  <c r="I18" i="1" s="1"/>
  <c r="I55" i="1"/>
  <c r="I17" i="1" s="1"/>
  <c r="I54" i="1"/>
  <c r="I16" i="1" s="1"/>
  <c r="I51" i="1"/>
  <c r="I13" i="1" s="1"/>
  <c r="I50" i="1"/>
  <c r="I12" i="1" s="1"/>
  <c r="I49" i="1"/>
  <c r="I11" i="1" s="1"/>
  <c r="I48" i="1"/>
  <c r="I10" i="1" s="1"/>
  <c r="I47" i="1"/>
  <c r="I9" i="1" s="1"/>
  <c r="I46" i="1"/>
  <c r="I8" i="1" s="1"/>
  <c r="I45" i="1"/>
  <c r="I7" i="1" s="1"/>
  <c r="I44" i="1"/>
  <c r="I6" i="1" s="1"/>
  <c r="I43" i="1"/>
  <c r="I5" i="1" s="1"/>
  <c r="J43" i="1"/>
  <c r="E44" i="3"/>
  <c r="H22" i="3"/>
  <c r="A28" i="2"/>
  <c r="B28" i="2"/>
  <c r="C28" i="2"/>
  <c r="D28" i="2"/>
  <c r="H28" i="2"/>
  <c r="A29" i="2"/>
  <c r="B29" i="2"/>
  <c r="C29" i="2"/>
  <c r="D29" i="2"/>
  <c r="H29" i="2"/>
  <c r="A30" i="2"/>
  <c r="B30" i="2"/>
  <c r="C30" i="2"/>
  <c r="D30" i="2"/>
  <c r="H30" i="2"/>
  <c r="A31" i="2"/>
  <c r="B31" i="2"/>
  <c r="C31" i="2"/>
  <c r="D31" i="2"/>
  <c r="H31" i="2"/>
  <c r="A32" i="2"/>
  <c r="B32" i="2"/>
  <c r="C32" i="2"/>
  <c r="D32" i="2"/>
  <c r="H32" i="2"/>
  <c r="A33" i="2"/>
  <c r="B33" i="2"/>
  <c r="C33" i="2"/>
  <c r="D33" i="2"/>
  <c r="H33" i="2"/>
  <c r="A34" i="2"/>
  <c r="B34" i="2"/>
  <c r="C34" i="2"/>
  <c r="D34" i="2"/>
  <c r="H34" i="2"/>
  <c r="A35" i="2"/>
  <c r="B35" i="2"/>
  <c r="C35" i="2"/>
  <c r="D35" i="2"/>
  <c r="H35" i="2"/>
  <c r="A36" i="2"/>
  <c r="B36" i="2"/>
  <c r="C36" i="2"/>
  <c r="D36" i="2"/>
  <c r="H36" i="2"/>
  <c r="A37" i="2"/>
  <c r="B37" i="2"/>
  <c r="C37" i="2"/>
  <c r="D37" i="2"/>
  <c r="H37" i="2"/>
  <c r="A38" i="2"/>
  <c r="B38" i="2"/>
  <c r="C38" i="2"/>
  <c r="D38" i="2"/>
  <c r="H38" i="2"/>
  <c r="A39" i="2"/>
  <c r="B39" i="2"/>
  <c r="C39" i="2"/>
  <c r="D39" i="2"/>
  <c r="H39" i="2"/>
  <c r="A40" i="2"/>
  <c r="B40" i="2"/>
  <c r="C40" i="2"/>
  <c r="D40" i="2"/>
  <c r="H40" i="2"/>
  <c r="A41" i="2"/>
  <c r="B41" i="2"/>
  <c r="C41" i="2"/>
  <c r="D41" i="2"/>
  <c r="H41" i="2"/>
  <c r="A42" i="2"/>
  <c r="B42" i="2"/>
  <c r="C42" i="2"/>
  <c r="D42" i="2"/>
  <c r="H42" i="2"/>
  <c r="A5" i="2"/>
  <c r="B5" i="2"/>
  <c r="C5" i="2"/>
  <c r="D5" i="2"/>
  <c r="E5" i="2"/>
  <c r="F5" i="2"/>
  <c r="G5" i="2"/>
  <c r="H5" i="2"/>
  <c r="I5" i="2"/>
  <c r="S5" i="2"/>
  <c r="A6" i="2"/>
  <c r="B6" i="2"/>
  <c r="C6" i="2"/>
  <c r="D6" i="2"/>
  <c r="E6" i="2"/>
  <c r="F6" i="2"/>
  <c r="G6" i="2"/>
  <c r="H6" i="2"/>
  <c r="I6" i="2"/>
  <c r="S6" i="2"/>
  <c r="A7" i="2"/>
  <c r="B7" i="2"/>
  <c r="C7" i="2"/>
  <c r="D7" i="2"/>
  <c r="E7" i="2"/>
  <c r="F7" i="2"/>
  <c r="G7" i="2"/>
  <c r="H7" i="2"/>
  <c r="I7" i="2"/>
  <c r="S7" i="2"/>
  <c r="A8" i="2"/>
  <c r="B8" i="2"/>
  <c r="C8" i="2"/>
  <c r="D8" i="2"/>
  <c r="E8" i="2"/>
  <c r="F8" i="2"/>
  <c r="G8" i="2"/>
  <c r="H8" i="2"/>
  <c r="I8" i="2"/>
  <c r="S8" i="2"/>
  <c r="A9" i="2"/>
  <c r="B9" i="2"/>
  <c r="C9" i="2"/>
  <c r="D9" i="2"/>
  <c r="E9" i="2"/>
  <c r="F9" i="2"/>
  <c r="G9" i="2"/>
  <c r="H9" i="2"/>
  <c r="I9" i="2"/>
  <c r="S9" i="2"/>
  <c r="A10" i="2"/>
  <c r="B10" i="2"/>
  <c r="C10" i="2"/>
  <c r="D10" i="2"/>
  <c r="E10" i="2"/>
  <c r="F10" i="2"/>
  <c r="G10" i="2"/>
  <c r="H10" i="2"/>
  <c r="I10" i="2"/>
  <c r="S10" i="2"/>
  <c r="A11" i="2"/>
  <c r="B11" i="2"/>
  <c r="C11" i="2"/>
  <c r="D11" i="2"/>
  <c r="E11" i="2"/>
  <c r="F11" i="2"/>
  <c r="G11" i="2"/>
  <c r="H11" i="2"/>
  <c r="I11" i="2"/>
  <c r="S11" i="2"/>
  <c r="A12" i="2"/>
  <c r="B12" i="2"/>
  <c r="C12" i="2"/>
  <c r="D12" i="2"/>
  <c r="E12" i="2"/>
  <c r="F12" i="2"/>
  <c r="G12" i="2"/>
  <c r="H12" i="2"/>
  <c r="I12" i="2"/>
  <c r="S12" i="2"/>
  <c r="A13" i="2"/>
  <c r="B13" i="2"/>
  <c r="C13" i="2"/>
  <c r="D13" i="2"/>
  <c r="E13" i="2"/>
  <c r="F13" i="2"/>
  <c r="G13" i="2"/>
  <c r="H13" i="2"/>
  <c r="I13" i="2"/>
  <c r="S13" i="2"/>
  <c r="A14" i="2"/>
  <c r="B14" i="2"/>
  <c r="C14" i="2"/>
  <c r="D14" i="2"/>
  <c r="E14" i="2"/>
  <c r="F14" i="2"/>
  <c r="G14" i="2"/>
  <c r="H14" i="2"/>
  <c r="I14" i="2"/>
  <c r="S14" i="2"/>
  <c r="A15" i="2"/>
  <c r="B15" i="2"/>
  <c r="C15" i="2"/>
  <c r="D15" i="2"/>
  <c r="E15" i="2"/>
  <c r="F15" i="2"/>
  <c r="G15" i="2"/>
  <c r="H15" i="2"/>
  <c r="I15" i="2"/>
  <c r="S15" i="2"/>
  <c r="A16" i="2"/>
  <c r="B16" i="2"/>
  <c r="C16" i="2"/>
  <c r="D16" i="2"/>
  <c r="E16" i="2"/>
  <c r="F16" i="2"/>
  <c r="G16" i="2"/>
  <c r="H16" i="2"/>
  <c r="I16" i="2"/>
  <c r="S16" i="2"/>
  <c r="A17" i="2"/>
  <c r="B17" i="2"/>
  <c r="C17" i="2"/>
  <c r="D17" i="2"/>
  <c r="E17" i="2"/>
  <c r="F17" i="2"/>
  <c r="G17" i="2"/>
  <c r="H17" i="2"/>
  <c r="I17" i="2"/>
  <c r="S17" i="2"/>
  <c r="A18" i="2"/>
  <c r="B18" i="2"/>
  <c r="C18" i="2"/>
  <c r="D18" i="2"/>
  <c r="E18" i="2"/>
  <c r="F18" i="2"/>
  <c r="G18" i="2"/>
  <c r="H18" i="2"/>
  <c r="I18" i="2"/>
  <c r="S18" i="2"/>
  <c r="A19" i="2"/>
  <c r="B19" i="2"/>
  <c r="C19" i="2"/>
  <c r="D19" i="2"/>
  <c r="E19" i="2"/>
  <c r="F19" i="2"/>
  <c r="G19" i="2"/>
  <c r="H19" i="2"/>
  <c r="I19" i="2"/>
  <c r="S19" i="2"/>
  <c r="A20" i="2"/>
  <c r="B20" i="2"/>
  <c r="C20" i="2"/>
  <c r="D20" i="2"/>
  <c r="E20" i="2"/>
  <c r="F20" i="2"/>
  <c r="G20" i="2"/>
  <c r="H20" i="2"/>
  <c r="I20" i="2"/>
  <c r="S20" i="2"/>
  <c r="E83" i="1"/>
  <c r="F83" i="1"/>
  <c r="E88" i="1"/>
  <c r="F88" i="1"/>
  <c r="E89" i="1"/>
  <c r="F89" i="1"/>
  <c r="H57" i="6"/>
  <c r="I57" i="6" s="1"/>
  <c r="AD43" i="1" s="1"/>
  <c r="H44" i="6"/>
  <c r="I44" i="6" s="1"/>
  <c r="X49" i="1" s="1"/>
  <c r="H39" i="6"/>
  <c r="I39" i="6" s="1"/>
  <c r="X43" i="1" s="1"/>
  <c r="H21" i="6"/>
  <c r="I21" i="6" s="1"/>
  <c r="R43" i="1" s="1"/>
  <c r="H3" i="6"/>
  <c r="I3" i="6" s="1"/>
  <c r="L43" i="1" s="1"/>
  <c r="E107" i="7"/>
  <c r="D107" i="7"/>
  <c r="H106" i="7"/>
  <c r="AB50" i="1" s="1"/>
  <c r="F106" i="7"/>
  <c r="H105" i="7"/>
  <c r="J105" i="7" s="1"/>
  <c r="L105" i="7" s="1"/>
  <c r="AD45" i="1" s="1"/>
  <c r="F105" i="7"/>
  <c r="H104" i="7"/>
  <c r="J104" i="7" s="1"/>
  <c r="L104" i="7" s="1"/>
  <c r="AD74" i="1" s="1"/>
  <c r="F104" i="7"/>
  <c r="H103" i="7"/>
  <c r="J103" i="7" s="1"/>
  <c r="L103" i="7" s="1"/>
  <c r="AD73" i="1" s="1"/>
  <c r="F103" i="7"/>
  <c r="H102" i="7"/>
  <c r="AB72" i="1" s="1"/>
  <c r="F102" i="7"/>
  <c r="H101" i="7"/>
  <c r="AB71" i="1" s="1"/>
  <c r="F101" i="7"/>
  <c r="H100" i="7"/>
  <c r="J100" i="7" s="1"/>
  <c r="L100" i="7" s="1"/>
  <c r="AD70" i="1" s="1"/>
  <c r="F100" i="7"/>
  <c r="H99" i="7"/>
  <c r="J99" i="7" s="1"/>
  <c r="L99" i="7" s="1"/>
  <c r="AD69" i="1" s="1"/>
  <c r="F99" i="7"/>
  <c r="H98" i="7"/>
  <c r="AB68" i="1" s="1"/>
  <c r="F98" i="7"/>
  <c r="H97" i="7"/>
  <c r="J97" i="7" s="1"/>
  <c r="L97" i="7" s="1"/>
  <c r="AD67" i="1" s="1"/>
  <c r="F97" i="7"/>
  <c r="H96" i="7"/>
  <c r="J96" i="7" s="1"/>
  <c r="L96" i="7" s="1"/>
  <c r="AD66" i="1" s="1"/>
  <c r="F96" i="7"/>
  <c r="H95" i="7"/>
  <c r="J95" i="7" s="1"/>
  <c r="L95" i="7" s="1"/>
  <c r="AD65" i="1" s="1"/>
  <c r="F95" i="7"/>
  <c r="H94" i="7"/>
  <c r="AB64" i="1" s="1"/>
  <c r="F94" i="7"/>
  <c r="H93" i="7"/>
  <c r="AB63" i="1" s="1"/>
  <c r="F93" i="7"/>
  <c r="H92" i="7"/>
  <c r="J92" i="7" s="1"/>
  <c r="L92" i="7" s="1"/>
  <c r="AD62" i="1" s="1"/>
  <c r="F92" i="7"/>
  <c r="H91" i="7"/>
  <c r="J91" i="7" s="1"/>
  <c r="L91" i="7" s="1"/>
  <c r="AD61" i="1" s="1"/>
  <c r="F91" i="7"/>
  <c r="H90" i="7"/>
  <c r="AB60" i="1" s="1"/>
  <c r="F90" i="7"/>
  <c r="H89" i="7"/>
  <c r="J89" i="7" s="1"/>
  <c r="L89" i="7" s="1"/>
  <c r="AD59" i="1" s="1"/>
  <c r="F89" i="7"/>
  <c r="H88" i="7"/>
  <c r="J88" i="7" s="1"/>
  <c r="L88" i="7" s="1"/>
  <c r="AD58" i="1" s="1"/>
  <c r="F88" i="7"/>
  <c r="H87" i="7"/>
  <c r="J87" i="7" s="1"/>
  <c r="L87" i="7" s="1"/>
  <c r="AD57" i="1" s="1"/>
  <c r="F87" i="7"/>
  <c r="H86" i="7"/>
  <c r="AB56" i="1" s="1"/>
  <c r="F86" i="7"/>
  <c r="H85" i="7"/>
  <c r="AB55" i="1" s="1"/>
  <c r="F85" i="7"/>
  <c r="H84" i="7"/>
  <c r="J84" i="7" s="1"/>
  <c r="AC54" i="1" s="1"/>
  <c r="F84" i="7"/>
  <c r="E80" i="7"/>
  <c r="D80" i="7"/>
  <c r="H79" i="7"/>
  <c r="J79" i="7" s="1"/>
  <c r="L79" i="7" s="1"/>
  <c r="X50" i="1" s="1"/>
  <c r="F79" i="7"/>
  <c r="H78" i="7"/>
  <c r="J78" i="7" s="1"/>
  <c r="L78" i="7" s="1"/>
  <c r="X45" i="1" s="1"/>
  <c r="F78" i="7"/>
  <c r="H77" i="7"/>
  <c r="J77" i="7" s="1"/>
  <c r="L77" i="7" s="1"/>
  <c r="X74" i="1" s="1"/>
  <c r="F77" i="7"/>
  <c r="H76" i="7"/>
  <c r="J76" i="7" s="1"/>
  <c r="L76" i="7" s="1"/>
  <c r="X73" i="1" s="1"/>
  <c r="F76" i="7"/>
  <c r="H75" i="7"/>
  <c r="J75" i="7" s="1"/>
  <c r="L75" i="7" s="1"/>
  <c r="X72" i="1" s="1"/>
  <c r="F75" i="7"/>
  <c r="H74" i="7"/>
  <c r="J74" i="7" s="1"/>
  <c r="L74" i="7" s="1"/>
  <c r="X71" i="1" s="1"/>
  <c r="F74" i="7"/>
  <c r="H73" i="7"/>
  <c r="J73" i="7" s="1"/>
  <c r="L73" i="7" s="1"/>
  <c r="X70" i="1" s="1"/>
  <c r="F73" i="7"/>
  <c r="H72" i="7"/>
  <c r="J72" i="7" s="1"/>
  <c r="L72" i="7" s="1"/>
  <c r="X69" i="1" s="1"/>
  <c r="F72" i="7"/>
  <c r="H71" i="7"/>
  <c r="J71" i="7" s="1"/>
  <c r="L71" i="7" s="1"/>
  <c r="X68" i="1" s="1"/>
  <c r="F71" i="7"/>
  <c r="H70" i="7"/>
  <c r="J70" i="7" s="1"/>
  <c r="L70" i="7" s="1"/>
  <c r="X67" i="1" s="1"/>
  <c r="F70" i="7"/>
  <c r="H69" i="7"/>
  <c r="J69" i="7" s="1"/>
  <c r="L69" i="7" s="1"/>
  <c r="X66" i="1" s="1"/>
  <c r="F69" i="7"/>
  <c r="H68" i="7"/>
  <c r="J68" i="7" s="1"/>
  <c r="L68" i="7" s="1"/>
  <c r="X65" i="1" s="1"/>
  <c r="F68" i="7"/>
  <c r="H67" i="7"/>
  <c r="J67" i="7" s="1"/>
  <c r="L67" i="7" s="1"/>
  <c r="X64" i="1" s="1"/>
  <c r="F67" i="7"/>
  <c r="H66" i="7"/>
  <c r="J66" i="7" s="1"/>
  <c r="L66" i="7" s="1"/>
  <c r="X63" i="1" s="1"/>
  <c r="F66" i="7"/>
  <c r="H65" i="7"/>
  <c r="J65" i="7" s="1"/>
  <c r="L65" i="7" s="1"/>
  <c r="X62" i="1" s="1"/>
  <c r="F65" i="7"/>
  <c r="H64" i="7"/>
  <c r="J64" i="7" s="1"/>
  <c r="L64" i="7" s="1"/>
  <c r="X61" i="1" s="1"/>
  <c r="F64" i="7"/>
  <c r="H63" i="7"/>
  <c r="J63" i="7" s="1"/>
  <c r="L63" i="7" s="1"/>
  <c r="X60" i="1" s="1"/>
  <c r="F63" i="7"/>
  <c r="H62" i="7"/>
  <c r="J62" i="7" s="1"/>
  <c r="L62" i="7" s="1"/>
  <c r="X59" i="1" s="1"/>
  <c r="F62" i="7"/>
  <c r="H61" i="7"/>
  <c r="J61" i="7" s="1"/>
  <c r="L61" i="7" s="1"/>
  <c r="X58" i="1" s="1"/>
  <c r="F61" i="7"/>
  <c r="H60" i="7"/>
  <c r="V57" i="1" s="1"/>
  <c r="F60" i="7"/>
  <c r="H59" i="7"/>
  <c r="J59" i="7" s="1"/>
  <c r="L59" i="7" s="1"/>
  <c r="X56" i="1" s="1"/>
  <c r="F59" i="7"/>
  <c r="H58" i="7"/>
  <c r="J58" i="7" s="1"/>
  <c r="L58" i="7" s="1"/>
  <c r="X55" i="1" s="1"/>
  <c r="F58" i="7"/>
  <c r="H57" i="7"/>
  <c r="J57" i="7" s="1"/>
  <c r="L57" i="7" s="1"/>
  <c r="X54" i="1" s="1"/>
  <c r="F57" i="7"/>
  <c r="E53" i="7"/>
  <c r="D53" i="7"/>
  <c r="H52" i="7"/>
  <c r="J52" i="7" s="1"/>
  <c r="L52" i="7" s="1"/>
  <c r="R50" i="1" s="1"/>
  <c r="F52" i="7"/>
  <c r="H51" i="7"/>
  <c r="J51" i="7" s="1"/>
  <c r="L51" i="7" s="1"/>
  <c r="R45" i="1" s="1"/>
  <c r="F51" i="7"/>
  <c r="H50" i="7"/>
  <c r="J50" i="7" s="1"/>
  <c r="Q74" i="1" s="1"/>
  <c r="F50" i="7"/>
  <c r="H49" i="7"/>
  <c r="J49" i="7" s="1"/>
  <c r="Q73" i="1" s="1"/>
  <c r="F49" i="7"/>
  <c r="H48" i="7"/>
  <c r="J48" i="7" s="1"/>
  <c r="L48" i="7" s="1"/>
  <c r="R72" i="1" s="1"/>
  <c r="F48" i="7"/>
  <c r="H47" i="7"/>
  <c r="J47" i="7" s="1"/>
  <c r="L47" i="7" s="1"/>
  <c r="R71" i="1" s="1"/>
  <c r="F47" i="7"/>
  <c r="H46" i="7"/>
  <c r="J46" i="7" s="1"/>
  <c r="Q70" i="1" s="1"/>
  <c r="F46" i="7"/>
  <c r="H45" i="7"/>
  <c r="J45" i="7" s="1"/>
  <c r="L45" i="7" s="1"/>
  <c r="R69" i="1" s="1"/>
  <c r="F45" i="7"/>
  <c r="H44" i="7"/>
  <c r="J44" i="7" s="1"/>
  <c r="L44" i="7" s="1"/>
  <c r="R68" i="1" s="1"/>
  <c r="F44" i="7"/>
  <c r="H43" i="7"/>
  <c r="J43" i="7" s="1"/>
  <c r="L43" i="7" s="1"/>
  <c r="R67" i="1" s="1"/>
  <c r="F43" i="7"/>
  <c r="H42" i="7"/>
  <c r="J42" i="7" s="1"/>
  <c r="Q66" i="1" s="1"/>
  <c r="F42" i="7"/>
  <c r="H41" i="7"/>
  <c r="J41" i="7" s="1"/>
  <c r="Q65" i="1" s="1"/>
  <c r="F41" i="7"/>
  <c r="H40" i="7"/>
  <c r="J40" i="7" s="1"/>
  <c r="L40" i="7" s="1"/>
  <c r="R64" i="1" s="1"/>
  <c r="F40" i="7"/>
  <c r="H39" i="7"/>
  <c r="J39" i="7" s="1"/>
  <c r="L39" i="7" s="1"/>
  <c r="R63" i="1" s="1"/>
  <c r="F39" i="7"/>
  <c r="H38" i="7"/>
  <c r="J38" i="7" s="1"/>
  <c r="Q62" i="1" s="1"/>
  <c r="F38" i="7"/>
  <c r="H37" i="7"/>
  <c r="J37" i="7" s="1"/>
  <c r="L37" i="7" s="1"/>
  <c r="R61" i="1" s="1"/>
  <c r="F37" i="7"/>
  <c r="H36" i="7"/>
  <c r="J36" i="7" s="1"/>
  <c r="L36" i="7" s="1"/>
  <c r="R60" i="1" s="1"/>
  <c r="F36" i="7"/>
  <c r="H35" i="7"/>
  <c r="J35" i="7" s="1"/>
  <c r="L35" i="7" s="1"/>
  <c r="R59" i="1" s="1"/>
  <c r="F35" i="7"/>
  <c r="H34" i="7"/>
  <c r="J34" i="7" s="1"/>
  <c r="Q58" i="1" s="1"/>
  <c r="F34" i="7"/>
  <c r="H33" i="7"/>
  <c r="J33" i="7" s="1"/>
  <c r="L33" i="7" s="1"/>
  <c r="R57" i="1" s="1"/>
  <c r="F33" i="7"/>
  <c r="H32" i="7"/>
  <c r="J32" i="7" s="1"/>
  <c r="L32" i="7" s="1"/>
  <c r="R56" i="1" s="1"/>
  <c r="F32" i="7"/>
  <c r="H31" i="7"/>
  <c r="J31" i="7" s="1"/>
  <c r="L31" i="7" s="1"/>
  <c r="R55" i="1" s="1"/>
  <c r="F31" i="7"/>
  <c r="H30" i="7"/>
  <c r="J30" i="7" s="1"/>
  <c r="Q54" i="1" s="1"/>
  <c r="F30" i="7"/>
  <c r="E26" i="7"/>
  <c r="D26" i="7"/>
  <c r="H25" i="7"/>
  <c r="J25" i="7" s="1"/>
  <c r="K50" i="1" s="1"/>
  <c r="F25" i="7"/>
  <c r="H24" i="7"/>
  <c r="J45" i="1" s="1"/>
  <c r="F24" i="7"/>
  <c r="H23" i="7"/>
  <c r="J23" i="7" s="1"/>
  <c r="L23" i="7" s="1"/>
  <c r="L74" i="1" s="1"/>
  <c r="F23" i="7"/>
  <c r="H22" i="7"/>
  <c r="J22" i="7" s="1"/>
  <c r="L22" i="7" s="1"/>
  <c r="L73" i="1" s="1"/>
  <c r="F22" i="7"/>
  <c r="H21" i="7"/>
  <c r="J21" i="7" s="1"/>
  <c r="K72" i="1" s="1"/>
  <c r="F21" i="7"/>
  <c r="H20" i="7"/>
  <c r="J20" i="7" s="1"/>
  <c r="K71" i="1" s="1"/>
  <c r="F20" i="7"/>
  <c r="H19" i="7"/>
  <c r="J19" i="7" s="1"/>
  <c r="L19" i="7" s="1"/>
  <c r="L70" i="1" s="1"/>
  <c r="F19" i="7"/>
  <c r="H18" i="7"/>
  <c r="J18" i="7" s="1"/>
  <c r="L18" i="7" s="1"/>
  <c r="L69" i="1" s="1"/>
  <c r="F18" i="7"/>
  <c r="H17" i="7"/>
  <c r="J17" i="7" s="1"/>
  <c r="L17" i="7" s="1"/>
  <c r="L68" i="1" s="1"/>
  <c r="F17" i="7"/>
  <c r="H16" i="7"/>
  <c r="J67" i="1" s="1"/>
  <c r="F16" i="7"/>
  <c r="H15" i="7"/>
  <c r="J15" i="7" s="1"/>
  <c r="L15" i="7" s="1"/>
  <c r="L66" i="1" s="1"/>
  <c r="F15" i="7"/>
  <c r="H14" i="7"/>
  <c r="J14" i="7" s="1"/>
  <c r="L14" i="7" s="1"/>
  <c r="L65" i="1" s="1"/>
  <c r="F14" i="7"/>
  <c r="H13" i="7"/>
  <c r="J13" i="7" s="1"/>
  <c r="K64" i="1" s="1"/>
  <c r="F13" i="7"/>
  <c r="H12" i="7"/>
  <c r="J12" i="7" s="1"/>
  <c r="K63" i="1" s="1"/>
  <c r="F12" i="7"/>
  <c r="H11" i="7"/>
  <c r="J11" i="7" s="1"/>
  <c r="L11" i="7" s="1"/>
  <c r="L62" i="1" s="1"/>
  <c r="F11" i="7"/>
  <c r="H10" i="7"/>
  <c r="J10" i="7" s="1"/>
  <c r="K61" i="1" s="1"/>
  <c r="F10" i="7"/>
  <c r="H9" i="7"/>
  <c r="J9" i="7" s="1"/>
  <c r="L9" i="7" s="1"/>
  <c r="L60" i="1" s="1"/>
  <c r="F9" i="7"/>
  <c r="H8" i="7"/>
  <c r="J59" i="1" s="1"/>
  <c r="F8" i="7"/>
  <c r="H7" i="7"/>
  <c r="J7" i="7" s="1"/>
  <c r="L7" i="7" s="1"/>
  <c r="L58" i="1" s="1"/>
  <c r="F7" i="7"/>
  <c r="H6" i="7"/>
  <c r="J6" i="7" s="1"/>
  <c r="K57" i="1" s="1"/>
  <c r="F6" i="7"/>
  <c r="H5" i="7"/>
  <c r="J5" i="7" s="1"/>
  <c r="K56" i="1" s="1"/>
  <c r="F5" i="7"/>
  <c r="H4" i="7"/>
  <c r="J4" i="7" s="1"/>
  <c r="K55" i="1" s="1"/>
  <c r="F4" i="7"/>
  <c r="H3" i="7"/>
  <c r="J3" i="7" s="1"/>
  <c r="L3" i="7" s="1"/>
  <c r="L54" i="1" s="1"/>
  <c r="F3" i="7"/>
  <c r="E71" i="6"/>
  <c r="G63" i="6" s="1"/>
  <c r="H63" i="6" s="1"/>
  <c r="I63" i="6" s="1"/>
  <c r="AD51" i="1" s="1"/>
  <c r="D71" i="6"/>
  <c r="E70" i="6"/>
  <c r="G62" i="6" s="1"/>
  <c r="G70" i="6" s="1"/>
  <c r="D70" i="6"/>
  <c r="E69" i="6"/>
  <c r="G61" i="6" s="1"/>
  <c r="G69" i="6" s="1"/>
  <c r="D69" i="6"/>
  <c r="E68" i="6"/>
  <c r="G60" i="6" s="1"/>
  <c r="G68" i="6" s="1"/>
  <c r="D68" i="6"/>
  <c r="E67" i="6"/>
  <c r="G59" i="6" s="1"/>
  <c r="G67" i="6" s="1"/>
  <c r="D67" i="6"/>
  <c r="E66" i="6"/>
  <c r="G58" i="6" s="1"/>
  <c r="H58" i="6" s="1"/>
  <c r="I58" i="6" s="1"/>
  <c r="AD46" i="1" s="1"/>
  <c r="D66" i="6"/>
  <c r="E64" i="6"/>
  <c r="D64" i="6"/>
  <c r="F63" i="6"/>
  <c r="F62" i="6"/>
  <c r="F61" i="6"/>
  <c r="F60" i="6"/>
  <c r="F59" i="6"/>
  <c r="F58" i="6"/>
  <c r="F57" i="6"/>
  <c r="E53" i="6"/>
  <c r="G45" i="6" s="1"/>
  <c r="G53" i="6" s="1"/>
  <c r="D53" i="6"/>
  <c r="G52" i="6"/>
  <c r="E52" i="6"/>
  <c r="D52" i="6"/>
  <c r="E51" i="6"/>
  <c r="G43" i="6" s="1"/>
  <c r="H43" i="6" s="1"/>
  <c r="I43" i="6" s="1"/>
  <c r="X48" i="1" s="1"/>
  <c r="D51" i="6"/>
  <c r="E50" i="6"/>
  <c r="G42" i="6" s="1"/>
  <c r="G50" i="6" s="1"/>
  <c r="D50" i="6"/>
  <c r="E49" i="6"/>
  <c r="G41" i="6" s="1"/>
  <c r="G49" i="6" s="1"/>
  <c r="D49" i="6"/>
  <c r="E48" i="6"/>
  <c r="G40" i="6" s="1"/>
  <c r="H40" i="6" s="1"/>
  <c r="I40" i="6" s="1"/>
  <c r="X46" i="1" s="1"/>
  <c r="D48" i="6"/>
  <c r="E46" i="6"/>
  <c r="D46" i="6"/>
  <c r="F45" i="6"/>
  <c r="F44" i="6"/>
  <c r="F43" i="6"/>
  <c r="F42" i="6"/>
  <c r="F41" i="6"/>
  <c r="F40" i="6"/>
  <c r="F39" i="6"/>
  <c r="E35" i="6"/>
  <c r="D35" i="6"/>
  <c r="E34" i="6"/>
  <c r="G26" i="6" s="1"/>
  <c r="H26" i="6" s="1"/>
  <c r="I26" i="6" s="1"/>
  <c r="R49" i="1" s="1"/>
  <c r="D34" i="6"/>
  <c r="E33" i="6"/>
  <c r="G25" i="6" s="1"/>
  <c r="G33" i="6" s="1"/>
  <c r="D33" i="6"/>
  <c r="E32" i="6"/>
  <c r="G24" i="6" s="1"/>
  <c r="G32" i="6" s="1"/>
  <c r="D32" i="6"/>
  <c r="E31" i="6"/>
  <c r="G23" i="6" s="1"/>
  <c r="H23" i="6" s="1"/>
  <c r="I23" i="6" s="1"/>
  <c r="R47" i="1" s="1"/>
  <c r="D31" i="6"/>
  <c r="E30" i="6"/>
  <c r="G22" i="6" s="1"/>
  <c r="G30" i="6" s="1"/>
  <c r="D30" i="6"/>
  <c r="E28" i="6"/>
  <c r="D28" i="6"/>
  <c r="G27" i="6"/>
  <c r="H27" i="6" s="1"/>
  <c r="I27" i="6" s="1"/>
  <c r="R51" i="1" s="1"/>
  <c r="F27" i="6"/>
  <c r="F26" i="6"/>
  <c r="F25" i="6"/>
  <c r="F24" i="6"/>
  <c r="F23" i="6"/>
  <c r="F22" i="6"/>
  <c r="F21" i="6"/>
  <c r="E17" i="6"/>
  <c r="D17" i="6"/>
  <c r="E16" i="6"/>
  <c r="G8" i="6" s="1"/>
  <c r="G16" i="6" s="1"/>
  <c r="D16" i="6"/>
  <c r="E15" i="6"/>
  <c r="G7" i="6" s="1"/>
  <c r="G15" i="6" s="1"/>
  <c r="D15" i="6"/>
  <c r="E14" i="6"/>
  <c r="G6" i="6" s="1"/>
  <c r="H6" i="6" s="1"/>
  <c r="I6" i="6" s="1"/>
  <c r="L44" i="1" s="1"/>
  <c r="D14" i="6"/>
  <c r="E13" i="6"/>
  <c r="G5" i="6" s="1"/>
  <c r="G13" i="6" s="1"/>
  <c r="D13" i="6"/>
  <c r="E12" i="6"/>
  <c r="G4" i="6" s="1"/>
  <c r="H4" i="6" s="1"/>
  <c r="I4" i="6" s="1"/>
  <c r="L46" i="1" s="1"/>
  <c r="D12" i="6"/>
  <c r="E10" i="6"/>
  <c r="D10" i="6"/>
  <c r="G9" i="6"/>
  <c r="H9" i="6" s="1"/>
  <c r="I9" i="6" s="1"/>
  <c r="L51" i="1" s="1"/>
  <c r="F9" i="6"/>
  <c r="F8" i="6"/>
  <c r="F7" i="6"/>
  <c r="F6" i="6"/>
  <c r="F5" i="6"/>
  <c r="F4" i="6"/>
  <c r="F3" i="6"/>
  <c r="AR42" i="3"/>
  <c r="G42" i="2" s="1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F42" i="2" s="1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E42" i="2" s="1"/>
  <c r="Q42" i="3"/>
  <c r="P42" i="3"/>
  <c r="O42" i="3"/>
  <c r="N42" i="3"/>
  <c r="M42" i="3"/>
  <c r="L42" i="3"/>
  <c r="K42" i="3"/>
  <c r="J42" i="3"/>
  <c r="I42" i="3"/>
  <c r="H42" i="3"/>
  <c r="G42" i="3"/>
  <c r="F42" i="3"/>
  <c r="AR41" i="3"/>
  <c r="G41" i="2" s="1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F41" i="2" s="1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E41" i="2" s="1"/>
  <c r="Q41" i="3"/>
  <c r="P41" i="3"/>
  <c r="O41" i="3"/>
  <c r="N41" i="3"/>
  <c r="M41" i="3"/>
  <c r="L41" i="3"/>
  <c r="K41" i="3"/>
  <c r="J41" i="3"/>
  <c r="I41" i="3"/>
  <c r="H41" i="3"/>
  <c r="G41" i="3"/>
  <c r="F41" i="3"/>
  <c r="AR40" i="3"/>
  <c r="G40" i="2" s="1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F40" i="2" s="1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E40" i="2" s="1"/>
  <c r="Q40" i="3"/>
  <c r="P40" i="3"/>
  <c r="O40" i="3"/>
  <c r="N40" i="3"/>
  <c r="M40" i="3"/>
  <c r="L40" i="3"/>
  <c r="K40" i="3"/>
  <c r="J40" i="3"/>
  <c r="I40" i="3"/>
  <c r="H40" i="3"/>
  <c r="G40" i="3"/>
  <c r="F40" i="3"/>
  <c r="AR39" i="3"/>
  <c r="G39" i="2" s="1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F39" i="2" s="1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E39" i="2" s="1"/>
  <c r="Q39" i="3"/>
  <c r="P39" i="3"/>
  <c r="O39" i="3"/>
  <c r="N39" i="3"/>
  <c r="M39" i="3"/>
  <c r="L39" i="3"/>
  <c r="K39" i="3"/>
  <c r="J39" i="3"/>
  <c r="I39" i="3"/>
  <c r="H39" i="3"/>
  <c r="G39" i="3"/>
  <c r="F39" i="3"/>
  <c r="AR38" i="3"/>
  <c r="G38" i="2" s="1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F38" i="2" s="1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E38" i="2" s="1"/>
  <c r="Q38" i="3"/>
  <c r="P38" i="3"/>
  <c r="O38" i="3"/>
  <c r="N38" i="3"/>
  <c r="M38" i="3"/>
  <c r="L38" i="3"/>
  <c r="K38" i="3"/>
  <c r="J38" i="3"/>
  <c r="I38" i="3"/>
  <c r="H38" i="3"/>
  <c r="G38" i="3"/>
  <c r="F38" i="3"/>
  <c r="AR37" i="3"/>
  <c r="G37" i="2" s="1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F37" i="2" s="1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E37" i="2" s="1"/>
  <c r="Q37" i="3"/>
  <c r="P37" i="3"/>
  <c r="O37" i="3"/>
  <c r="N37" i="3"/>
  <c r="M37" i="3"/>
  <c r="L37" i="3"/>
  <c r="K37" i="3"/>
  <c r="J37" i="3"/>
  <c r="I37" i="3"/>
  <c r="H37" i="3"/>
  <c r="G37" i="3"/>
  <c r="F37" i="3"/>
  <c r="AR36" i="3"/>
  <c r="G36" i="2" s="1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F36" i="2" s="1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E36" i="2" s="1"/>
  <c r="Q36" i="3"/>
  <c r="P36" i="3"/>
  <c r="O36" i="3"/>
  <c r="N36" i="3"/>
  <c r="M36" i="3"/>
  <c r="L36" i="3"/>
  <c r="K36" i="3"/>
  <c r="J36" i="3"/>
  <c r="I36" i="3"/>
  <c r="H36" i="3"/>
  <c r="G36" i="3"/>
  <c r="F36" i="3"/>
  <c r="AR35" i="3"/>
  <c r="G35" i="2" s="1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F35" i="2" s="1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E35" i="2" s="1"/>
  <c r="Q35" i="3"/>
  <c r="P35" i="3"/>
  <c r="O35" i="3"/>
  <c r="N35" i="3"/>
  <c r="M35" i="3"/>
  <c r="L35" i="3"/>
  <c r="K35" i="3"/>
  <c r="J35" i="3"/>
  <c r="I35" i="3"/>
  <c r="H35" i="3"/>
  <c r="G35" i="3"/>
  <c r="F35" i="3"/>
  <c r="AR34" i="3"/>
  <c r="G34" i="2" s="1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F34" i="2" s="1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E34" i="2" s="1"/>
  <c r="Q34" i="3"/>
  <c r="P34" i="3"/>
  <c r="O34" i="3"/>
  <c r="N34" i="3"/>
  <c r="M34" i="3"/>
  <c r="L34" i="3"/>
  <c r="K34" i="3"/>
  <c r="J34" i="3"/>
  <c r="I34" i="3"/>
  <c r="H34" i="3"/>
  <c r="G34" i="3"/>
  <c r="F34" i="3"/>
  <c r="AR33" i="3"/>
  <c r="G33" i="2" s="1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F33" i="2" s="1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E33" i="2" s="1"/>
  <c r="Q33" i="3"/>
  <c r="P33" i="3"/>
  <c r="O33" i="3"/>
  <c r="N33" i="3"/>
  <c r="M33" i="3"/>
  <c r="L33" i="3"/>
  <c r="K33" i="3"/>
  <c r="J33" i="3"/>
  <c r="I33" i="3"/>
  <c r="H33" i="3"/>
  <c r="G33" i="3"/>
  <c r="F33" i="3"/>
  <c r="AR32" i="3"/>
  <c r="G32" i="2" s="1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F32" i="2" s="1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E32" i="2" s="1"/>
  <c r="Q32" i="3"/>
  <c r="P32" i="3"/>
  <c r="O32" i="3"/>
  <c r="N32" i="3"/>
  <c r="M32" i="3"/>
  <c r="L32" i="3"/>
  <c r="K32" i="3"/>
  <c r="J32" i="3"/>
  <c r="I32" i="3"/>
  <c r="H32" i="3"/>
  <c r="G32" i="3"/>
  <c r="F32" i="3"/>
  <c r="AR31" i="3"/>
  <c r="G31" i="2" s="1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F31" i="2" s="1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E31" i="2" s="1"/>
  <c r="Q31" i="3"/>
  <c r="P31" i="3"/>
  <c r="O31" i="3"/>
  <c r="N31" i="3"/>
  <c r="M31" i="3"/>
  <c r="L31" i="3"/>
  <c r="K31" i="3"/>
  <c r="J31" i="3"/>
  <c r="I31" i="3"/>
  <c r="H31" i="3"/>
  <c r="G31" i="3"/>
  <c r="F31" i="3"/>
  <c r="AR30" i="3"/>
  <c r="G30" i="2" s="1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F30" i="2" s="1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E30" i="2" s="1"/>
  <c r="Q30" i="3"/>
  <c r="P30" i="3"/>
  <c r="O30" i="3"/>
  <c r="N30" i="3"/>
  <c r="M30" i="3"/>
  <c r="L30" i="3"/>
  <c r="K30" i="3"/>
  <c r="J30" i="3"/>
  <c r="I30" i="3"/>
  <c r="H30" i="3"/>
  <c r="G30" i="3"/>
  <c r="F30" i="3"/>
  <c r="AR29" i="3"/>
  <c r="G29" i="2" s="1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F29" i="2" s="1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E29" i="2" s="1"/>
  <c r="Q29" i="3"/>
  <c r="P29" i="3"/>
  <c r="O29" i="3"/>
  <c r="N29" i="3"/>
  <c r="M29" i="3"/>
  <c r="L29" i="3"/>
  <c r="K29" i="3"/>
  <c r="J29" i="3"/>
  <c r="I29" i="3"/>
  <c r="H29" i="3"/>
  <c r="G29" i="3"/>
  <c r="F29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D28" i="3"/>
  <c r="AC28" i="3"/>
  <c r="AB28" i="3"/>
  <c r="AA28" i="3"/>
  <c r="Z28" i="3"/>
  <c r="Y28" i="3"/>
  <c r="X28" i="3"/>
  <c r="W28" i="3"/>
  <c r="V28" i="3"/>
  <c r="U28" i="3"/>
  <c r="T28" i="3"/>
  <c r="S28" i="3"/>
  <c r="Q28" i="3"/>
  <c r="P28" i="3"/>
  <c r="O28" i="3"/>
  <c r="N28" i="3"/>
  <c r="M28" i="3"/>
  <c r="L28" i="3"/>
  <c r="K28" i="3"/>
  <c r="J28" i="3"/>
  <c r="I28" i="3"/>
  <c r="H28" i="3"/>
  <c r="G28" i="3"/>
  <c r="F28" i="3"/>
  <c r="BB20" i="3"/>
  <c r="R20" i="2" s="1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Q20" i="2" s="1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P20" i="2" s="1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O20" i="2" s="1"/>
  <c r="N20" i="3"/>
  <c r="N20" i="2" s="1"/>
  <c r="M20" i="3"/>
  <c r="M20" i="2" s="1"/>
  <c r="L20" i="3"/>
  <c r="L20" i="2" s="1"/>
  <c r="K20" i="3"/>
  <c r="K20" i="2" s="1"/>
  <c r="J20" i="3"/>
  <c r="J20" i="2" s="1"/>
  <c r="BB19" i="3"/>
  <c r="R19" i="2" s="1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Q19" i="2" s="1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P19" i="2" s="1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O19" i="2" s="1"/>
  <c r="N19" i="3"/>
  <c r="N19" i="2" s="1"/>
  <c r="M19" i="3"/>
  <c r="M19" i="2" s="1"/>
  <c r="L19" i="3"/>
  <c r="L19" i="2" s="1"/>
  <c r="K19" i="3"/>
  <c r="K19" i="2" s="1"/>
  <c r="J19" i="3"/>
  <c r="J19" i="2" s="1"/>
  <c r="BB18" i="3"/>
  <c r="R18" i="2" s="1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Q18" i="2" s="1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P18" i="2" s="1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O18" i="2" s="1"/>
  <c r="N18" i="3"/>
  <c r="N18" i="2" s="1"/>
  <c r="M18" i="3"/>
  <c r="M18" i="2" s="1"/>
  <c r="L18" i="3"/>
  <c r="L18" i="2" s="1"/>
  <c r="K18" i="3"/>
  <c r="K18" i="2" s="1"/>
  <c r="J18" i="3"/>
  <c r="J18" i="2" s="1"/>
  <c r="BB17" i="3"/>
  <c r="R17" i="2" s="1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Q17" i="2" s="1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P17" i="2" s="1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O17" i="2" s="1"/>
  <c r="N17" i="3"/>
  <c r="N17" i="2" s="1"/>
  <c r="M17" i="3"/>
  <c r="M17" i="2" s="1"/>
  <c r="L17" i="3"/>
  <c r="L17" i="2" s="1"/>
  <c r="K17" i="3"/>
  <c r="K17" i="2" s="1"/>
  <c r="J17" i="3"/>
  <c r="J17" i="2" s="1"/>
  <c r="BB16" i="3"/>
  <c r="R16" i="2" s="1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Q16" i="2" s="1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P16" i="2" s="1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O16" i="2" s="1"/>
  <c r="N16" i="3"/>
  <c r="N16" i="2" s="1"/>
  <c r="M16" i="3"/>
  <c r="M16" i="2" s="1"/>
  <c r="L16" i="3"/>
  <c r="L16" i="2" s="1"/>
  <c r="K16" i="3"/>
  <c r="K16" i="2" s="1"/>
  <c r="J16" i="3"/>
  <c r="J16" i="2" s="1"/>
  <c r="BB15" i="3"/>
  <c r="R15" i="2" s="1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Q15" i="2" s="1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P15" i="2" s="1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O15" i="2" s="1"/>
  <c r="N15" i="3"/>
  <c r="N15" i="2" s="1"/>
  <c r="M15" i="3"/>
  <c r="M15" i="2" s="1"/>
  <c r="L15" i="3"/>
  <c r="L15" i="2" s="1"/>
  <c r="K15" i="3"/>
  <c r="K15" i="2" s="1"/>
  <c r="J15" i="3"/>
  <c r="J15" i="2" s="1"/>
  <c r="BB14" i="3"/>
  <c r="R14" i="2" s="1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Q14" i="2" s="1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P14" i="2" s="1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O14" i="2" s="1"/>
  <c r="N14" i="3"/>
  <c r="N14" i="2" s="1"/>
  <c r="M14" i="3"/>
  <c r="M14" i="2" s="1"/>
  <c r="L14" i="3"/>
  <c r="L14" i="2" s="1"/>
  <c r="K14" i="3"/>
  <c r="K14" i="2" s="1"/>
  <c r="J14" i="3"/>
  <c r="J14" i="2" s="1"/>
  <c r="BB13" i="3"/>
  <c r="R13" i="2" s="1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Q13" i="2" s="1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P13" i="2" s="1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O13" i="2" s="1"/>
  <c r="N13" i="3"/>
  <c r="N13" i="2" s="1"/>
  <c r="M13" i="3"/>
  <c r="M13" i="2" s="1"/>
  <c r="L13" i="3"/>
  <c r="L13" i="2" s="1"/>
  <c r="K13" i="3"/>
  <c r="K13" i="2" s="1"/>
  <c r="J13" i="3"/>
  <c r="J13" i="2" s="1"/>
  <c r="BB12" i="3"/>
  <c r="R12" i="2" s="1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Q12" i="2" s="1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P12" i="2" s="1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O12" i="2" s="1"/>
  <c r="N12" i="3"/>
  <c r="N12" i="2" s="1"/>
  <c r="M12" i="3"/>
  <c r="M12" i="2" s="1"/>
  <c r="L12" i="3"/>
  <c r="L12" i="2" s="1"/>
  <c r="K12" i="3"/>
  <c r="K12" i="2" s="1"/>
  <c r="J12" i="3"/>
  <c r="J12" i="2" s="1"/>
  <c r="BB11" i="3"/>
  <c r="R11" i="2" s="1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Q11" i="2" s="1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P11" i="2" s="1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O11" i="2" s="1"/>
  <c r="N11" i="3"/>
  <c r="N11" i="2" s="1"/>
  <c r="M11" i="3"/>
  <c r="M11" i="2" s="1"/>
  <c r="L11" i="3"/>
  <c r="L11" i="2" s="1"/>
  <c r="K11" i="3"/>
  <c r="K11" i="2" s="1"/>
  <c r="J11" i="3"/>
  <c r="J11" i="2" s="1"/>
  <c r="BB10" i="3"/>
  <c r="R10" i="2" s="1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Q10" i="2" s="1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P10" i="2" s="1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O10" i="2" s="1"/>
  <c r="N10" i="3"/>
  <c r="N10" i="2" s="1"/>
  <c r="M10" i="3"/>
  <c r="M10" i="2" s="1"/>
  <c r="L10" i="3"/>
  <c r="L10" i="2" s="1"/>
  <c r="K10" i="3"/>
  <c r="K10" i="2" s="1"/>
  <c r="J10" i="3"/>
  <c r="J10" i="2" s="1"/>
  <c r="BB9" i="3"/>
  <c r="R9" i="2" s="1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Q9" i="2" s="1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P9" i="2" s="1"/>
  <c r="AA9" i="3"/>
  <c r="Z9" i="3"/>
  <c r="Y9" i="3"/>
  <c r="X9" i="3"/>
  <c r="W9" i="3"/>
  <c r="V9" i="3"/>
  <c r="U9" i="3"/>
  <c r="T9" i="3"/>
  <c r="S9" i="3"/>
  <c r="R9" i="3"/>
  <c r="Q9" i="3"/>
  <c r="P9" i="3"/>
  <c r="O9" i="3"/>
  <c r="O9" i="2" s="1"/>
  <c r="N9" i="3"/>
  <c r="N9" i="2" s="1"/>
  <c r="M9" i="3"/>
  <c r="M9" i="2" s="1"/>
  <c r="L9" i="3"/>
  <c r="L9" i="2" s="1"/>
  <c r="K9" i="3"/>
  <c r="K9" i="2" s="1"/>
  <c r="J9" i="3"/>
  <c r="J9" i="2" s="1"/>
  <c r="BB8" i="3"/>
  <c r="R8" i="2" s="1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Q8" i="2" s="1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P8" i="2" s="1"/>
  <c r="AA8" i="3"/>
  <c r="Z8" i="3"/>
  <c r="Y8" i="3"/>
  <c r="X8" i="3"/>
  <c r="W8" i="3"/>
  <c r="V8" i="3"/>
  <c r="U8" i="3"/>
  <c r="T8" i="3"/>
  <c r="S8" i="3"/>
  <c r="R8" i="3"/>
  <c r="Q8" i="3"/>
  <c r="P8" i="3"/>
  <c r="O8" i="3"/>
  <c r="O8" i="2" s="1"/>
  <c r="N8" i="3"/>
  <c r="N8" i="2" s="1"/>
  <c r="M8" i="3"/>
  <c r="M8" i="2" s="1"/>
  <c r="L8" i="3"/>
  <c r="L8" i="2" s="1"/>
  <c r="K8" i="3"/>
  <c r="K8" i="2" s="1"/>
  <c r="J8" i="3"/>
  <c r="J8" i="2" s="1"/>
  <c r="BB7" i="3"/>
  <c r="R7" i="2" s="1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Q7" i="2" s="1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P7" i="2" s="1"/>
  <c r="AA7" i="3"/>
  <c r="Z7" i="3"/>
  <c r="Y7" i="3"/>
  <c r="X7" i="3"/>
  <c r="W7" i="3"/>
  <c r="V7" i="3"/>
  <c r="U7" i="3"/>
  <c r="T7" i="3"/>
  <c r="S7" i="3"/>
  <c r="R7" i="3"/>
  <c r="Q7" i="3"/>
  <c r="P7" i="3"/>
  <c r="O7" i="3"/>
  <c r="O7" i="2" s="1"/>
  <c r="N7" i="3"/>
  <c r="N7" i="2" s="1"/>
  <c r="M7" i="3"/>
  <c r="M7" i="2" s="1"/>
  <c r="L7" i="3"/>
  <c r="L7" i="2" s="1"/>
  <c r="K7" i="3"/>
  <c r="K7" i="2" s="1"/>
  <c r="J7" i="3"/>
  <c r="J7" i="2" s="1"/>
  <c r="BB6" i="3"/>
  <c r="R6" i="2" s="1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Q6" i="2" s="1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P6" i="2" s="1"/>
  <c r="AA6" i="3"/>
  <c r="Z6" i="3"/>
  <c r="Y6" i="3"/>
  <c r="X6" i="3"/>
  <c r="W6" i="3"/>
  <c r="V6" i="3"/>
  <c r="U6" i="3"/>
  <c r="T6" i="3"/>
  <c r="S6" i="3"/>
  <c r="R6" i="3"/>
  <c r="Q6" i="3"/>
  <c r="P6" i="3"/>
  <c r="O6" i="3"/>
  <c r="O6" i="2" s="1"/>
  <c r="N6" i="3"/>
  <c r="N6" i="2" s="1"/>
  <c r="M6" i="3"/>
  <c r="M6" i="2" s="1"/>
  <c r="L6" i="3"/>
  <c r="L6" i="2" s="1"/>
  <c r="K6" i="3"/>
  <c r="K6" i="2" s="1"/>
  <c r="J6" i="3"/>
  <c r="J6" i="2" s="1"/>
  <c r="J5" i="3"/>
  <c r="J5" i="2" s="1"/>
  <c r="C74" i="1"/>
  <c r="C36" i="1" s="1"/>
  <c r="C73" i="1"/>
  <c r="C35" i="1" s="1"/>
  <c r="C72" i="1"/>
  <c r="C34" i="1" s="1"/>
  <c r="C71" i="1"/>
  <c r="C33" i="1" s="1"/>
  <c r="C70" i="1"/>
  <c r="C32" i="1" s="1"/>
  <c r="C69" i="1"/>
  <c r="C31" i="1" s="1"/>
  <c r="C68" i="1"/>
  <c r="C30" i="1" s="1"/>
  <c r="C67" i="1"/>
  <c r="C29" i="1" s="1"/>
  <c r="C66" i="1"/>
  <c r="C28" i="1" s="1"/>
  <c r="C65" i="1"/>
  <c r="C64" i="1"/>
  <c r="C26" i="1" s="1"/>
  <c r="C63" i="1"/>
  <c r="C25" i="1" s="1"/>
  <c r="C62" i="1"/>
  <c r="C24" i="1" s="1"/>
  <c r="C61" i="1"/>
  <c r="C23" i="1" s="1"/>
  <c r="C60" i="1"/>
  <c r="C22" i="1" s="1"/>
  <c r="C59" i="1"/>
  <c r="C21" i="1" s="1"/>
  <c r="C58" i="1"/>
  <c r="C20" i="1" s="1"/>
  <c r="C57" i="1"/>
  <c r="C19" i="1" s="1"/>
  <c r="C56" i="1"/>
  <c r="C18" i="1" s="1"/>
  <c r="C55" i="1"/>
  <c r="C54" i="1"/>
  <c r="C16" i="1" s="1"/>
  <c r="C51" i="1"/>
  <c r="C50" i="1"/>
  <c r="C12" i="1" s="1"/>
  <c r="C49" i="1"/>
  <c r="C11" i="1" s="1"/>
  <c r="C48" i="1"/>
  <c r="C10" i="1" s="1"/>
  <c r="C47" i="1"/>
  <c r="C9" i="1" s="1"/>
  <c r="C46" i="1"/>
  <c r="C8" i="1" s="1"/>
  <c r="C45" i="1"/>
  <c r="C7" i="1" s="1"/>
  <c r="C44" i="1"/>
  <c r="D43" i="1"/>
  <c r="C43" i="1"/>
  <c r="C5" i="1" s="1"/>
  <c r="AB112" i="1" l="1"/>
  <c r="AD112" i="1"/>
  <c r="AD36" i="1" s="1"/>
  <c r="AC112" i="1"/>
  <c r="AB110" i="1"/>
  <c r="AB34" i="1" s="1"/>
  <c r="AD111" i="1"/>
  <c r="AD35" i="1" s="1"/>
  <c r="AC111" i="1"/>
  <c r="AB111" i="1"/>
  <c r="AD110" i="1"/>
  <c r="AC110" i="1"/>
  <c r="AB108" i="1"/>
  <c r="AD109" i="1"/>
  <c r="AC109" i="1"/>
  <c r="AB109" i="1"/>
  <c r="AB33" i="1" s="1"/>
  <c r="AD108" i="1"/>
  <c r="AD32" i="1" s="1"/>
  <c r="AC108" i="1"/>
  <c r="AB106" i="1"/>
  <c r="AB30" i="1" s="1"/>
  <c r="AD107" i="1"/>
  <c r="AD31" i="1" s="1"/>
  <c r="AC107" i="1"/>
  <c r="AB107" i="1"/>
  <c r="AD106" i="1"/>
  <c r="AC106" i="1"/>
  <c r="AB104" i="1"/>
  <c r="AD105" i="1"/>
  <c r="AD29" i="1" s="1"/>
  <c r="AC105" i="1"/>
  <c r="AB105" i="1"/>
  <c r="AD104" i="1"/>
  <c r="AD28" i="1" s="1"/>
  <c r="AC104" i="1"/>
  <c r="AB102" i="1"/>
  <c r="AB26" i="1" s="1"/>
  <c r="AD103" i="1"/>
  <c r="AD27" i="1" s="1"/>
  <c r="AC103" i="1"/>
  <c r="AB103" i="1"/>
  <c r="AD102" i="1"/>
  <c r="AC102" i="1"/>
  <c r="AB100" i="1"/>
  <c r="AD101" i="1"/>
  <c r="AC101" i="1"/>
  <c r="AB101" i="1"/>
  <c r="AB25" i="1" s="1"/>
  <c r="AD100" i="1"/>
  <c r="AD24" i="1" s="1"/>
  <c r="AC100" i="1"/>
  <c r="AB98" i="1"/>
  <c r="AB22" i="1" s="1"/>
  <c r="AD99" i="1"/>
  <c r="AD23" i="1" s="1"/>
  <c r="AC99" i="1"/>
  <c r="AB99" i="1"/>
  <c r="AD98" i="1"/>
  <c r="AC98" i="1"/>
  <c r="AB96" i="1"/>
  <c r="AD97" i="1"/>
  <c r="AD21" i="1" s="1"/>
  <c r="AC97" i="1"/>
  <c r="AB97" i="1"/>
  <c r="AD96" i="1"/>
  <c r="AD20" i="1" s="1"/>
  <c r="AC96" i="1"/>
  <c r="AB94" i="1"/>
  <c r="AB18" i="1" s="1"/>
  <c r="AD95" i="1"/>
  <c r="AD19" i="1" s="1"/>
  <c r="AC95" i="1"/>
  <c r="AB95" i="1"/>
  <c r="AD94" i="1"/>
  <c r="AC94" i="1"/>
  <c r="AB92" i="1"/>
  <c r="AD93" i="1"/>
  <c r="AC93" i="1"/>
  <c r="AB93" i="1"/>
  <c r="AB17" i="1" s="1"/>
  <c r="AD92" i="1"/>
  <c r="AC92" i="1"/>
  <c r="AB88" i="1"/>
  <c r="AB12" i="1" s="1"/>
  <c r="AD89" i="1"/>
  <c r="AD13" i="1" s="1"/>
  <c r="AC89" i="1"/>
  <c r="AB89" i="1"/>
  <c r="AD88" i="1"/>
  <c r="AC88" i="1"/>
  <c r="AB83" i="1"/>
  <c r="AD83" i="1"/>
  <c r="AD7" i="1" s="1"/>
  <c r="AC83" i="1"/>
  <c r="AA75" i="1"/>
  <c r="AC74" i="1"/>
  <c r="AB74" i="1"/>
  <c r="AC73" i="1"/>
  <c r="AB73" i="1"/>
  <c r="AC70" i="1"/>
  <c r="AB70" i="1"/>
  <c r="AC69" i="1"/>
  <c r="AB69" i="1"/>
  <c r="AC67" i="1"/>
  <c r="AB67" i="1"/>
  <c r="AC66" i="1"/>
  <c r="AB66" i="1"/>
  <c r="AC65" i="1"/>
  <c r="AB65" i="1"/>
  <c r="AC62" i="1"/>
  <c r="AB62" i="1"/>
  <c r="AC61" i="1"/>
  <c r="AB61" i="1"/>
  <c r="AC59" i="1"/>
  <c r="AB59" i="1"/>
  <c r="AC58" i="1"/>
  <c r="AB58" i="1"/>
  <c r="AC57" i="1"/>
  <c r="AB57" i="1"/>
  <c r="AA52" i="1"/>
  <c r="AA5" i="1"/>
  <c r="AA14" i="1" s="1"/>
  <c r="AB54" i="1"/>
  <c r="AC51" i="1"/>
  <c r="AB51" i="1"/>
  <c r="AB49" i="1"/>
  <c r="AB48" i="1"/>
  <c r="AB47" i="1"/>
  <c r="AC46" i="1"/>
  <c r="AB46" i="1"/>
  <c r="AC45" i="1"/>
  <c r="AB45" i="1"/>
  <c r="AB44" i="1"/>
  <c r="AC43" i="1"/>
  <c r="AA37" i="1"/>
  <c r="V112" i="1"/>
  <c r="X112" i="1"/>
  <c r="X36" i="1" s="1"/>
  <c r="W112" i="1"/>
  <c r="V110" i="1"/>
  <c r="X111" i="1"/>
  <c r="X35" i="1" s="1"/>
  <c r="W111" i="1"/>
  <c r="V111" i="1"/>
  <c r="X110" i="1"/>
  <c r="X34" i="1" s="1"/>
  <c r="W110" i="1"/>
  <c r="V108" i="1"/>
  <c r="X109" i="1"/>
  <c r="X33" i="1" s="1"/>
  <c r="W109" i="1"/>
  <c r="V109" i="1"/>
  <c r="X108" i="1"/>
  <c r="X32" i="1" s="1"/>
  <c r="W108" i="1"/>
  <c r="V106" i="1"/>
  <c r="X107" i="1"/>
  <c r="X31" i="1" s="1"/>
  <c r="W107" i="1"/>
  <c r="V107" i="1"/>
  <c r="X106" i="1"/>
  <c r="X30" i="1" s="1"/>
  <c r="W106" i="1"/>
  <c r="V104" i="1"/>
  <c r="X105" i="1"/>
  <c r="X29" i="1" s="1"/>
  <c r="W105" i="1"/>
  <c r="V105" i="1"/>
  <c r="X104" i="1"/>
  <c r="X28" i="1" s="1"/>
  <c r="W104" i="1"/>
  <c r="V102" i="1"/>
  <c r="X103" i="1"/>
  <c r="X27" i="1" s="1"/>
  <c r="W103" i="1"/>
  <c r="V103" i="1"/>
  <c r="X102" i="1"/>
  <c r="X26" i="1" s="1"/>
  <c r="W102" i="1"/>
  <c r="V100" i="1"/>
  <c r="X101" i="1"/>
  <c r="X25" i="1" s="1"/>
  <c r="W101" i="1"/>
  <c r="V101" i="1"/>
  <c r="X100" i="1"/>
  <c r="X24" i="1" s="1"/>
  <c r="W100" i="1"/>
  <c r="V98" i="1"/>
  <c r="X99" i="1"/>
  <c r="X23" i="1" s="1"/>
  <c r="W99" i="1"/>
  <c r="V99" i="1"/>
  <c r="X98" i="1"/>
  <c r="X22" i="1" s="1"/>
  <c r="W98" i="1"/>
  <c r="V96" i="1"/>
  <c r="X97" i="1"/>
  <c r="X21" i="1" s="1"/>
  <c r="W97" i="1"/>
  <c r="V97" i="1"/>
  <c r="X96" i="1"/>
  <c r="X20" i="1" s="1"/>
  <c r="W96" i="1"/>
  <c r="V94" i="1"/>
  <c r="X95" i="1"/>
  <c r="W95" i="1"/>
  <c r="V95" i="1"/>
  <c r="V19" i="1" s="1"/>
  <c r="X94" i="1"/>
  <c r="X18" i="1" s="1"/>
  <c r="W94" i="1"/>
  <c r="V92" i="1"/>
  <c r="X93" i="1"/>
  <c r="X17" i="1" s="1"/>
  <c r="W93" i="1"/>
  <c r="V93" i="1"/>
  <c r="X92" i="1"/>
  <c r="W92" i="1"/>
  <c r="V88" i="1"/>
  <c r="X89" i="1"/>
  <c r="W89" i="1"/>
  <c r="V89" i="1"/>
  <c r="X88" i="1"/>
  <c r="X12" i="1" s="1"/>
  <c r="W88" i="1"/>
  <c r="V83" i="1"/>
  <c r="X83" i="1"/>
  <c r="X7" i="1" s="1"/>
  <c r="W83" i="1"/>
  <c r="U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6" i="1"/>
  <c r="V56" i="1"/>
  <c r="W55" i="1"/>
  <c r="V55" i="1"/>
  <c r="W54" i="1"/>
  <c r="V54" i="1"/>
  <c r="U52" i="1"/>
  <c r="V51" i="1"/>
  <c r="W50" i="1"/>
  <c r="V50" i="1"/>
  <c r="W49" i="1"/>
  <c r="W48" i="1"/>
  <c r="V48" i="1"/>
  <c r="V47" i="1"/>
  <c r="W46" i="1"/>
  <c r="V46" i="1"/>
  <c r="U37" i="1"/>
  <c r="W45" i="1"/>
  <c r="V45" i="1"/>
  <c r="V44" i="1"/>
  <c r="W43" i="1"/>
  <c r="U14" i="1"/>
  <c r="P111" i="1"/>
  <c r="R112" i="1"/>
  <c r="Q112" i="1"/>
  <c r="Q36" i="1" s="1"/>
  <c r="P112" i="1"/>
  <c r="R111" i="1"/>
  <c r="Q111" i="1"/>
  <c r="Q35" i="1" s="1"/>
  <c r="P109" i="1"/>
  <c r="R110" i="1"/>
  <c r="R34" i="1" s="1"/>
  <c r="Q110" i="1"/>
  <c r="P110" i="1"/>
  <c r="R109" i="1"/>
  <c r="R33" i="1" s="1"/>
  <c r="Q109" i="1"/>
  <c r="P107" i="1"/>
  <c r="R108" i="1"/>
  <c r="Q108" i="1"/>
  <c r="Q32" i="1" s="1"/>
  <c r="P108" i="1"/>
  <c r="R107" i="1"/>
  <c r="R31" i="1" s="1"/>
  <c r="Q107" i="1"/>
  <c r="P105" i="1"/>
  <c r="R106" i="1"/>
  <c r="R30" i="1" s="1"/>
  <c r="Q106" i="1"/>
  <c r="P106" i="1"/>
  <c r="R105" i="1"/>
  <c r="R29" i="1" s="1"/>
  <c r="Q105" i="1"/>
  <c r="P103" i="1"/>
  <c r="R104" i="1"/>
  <c r="Q104" i="1"/>
  <c r="Q28" i="1" s="1"/>
  <c r="P104" i="1"/>
  <c r="R103" i="1"/>
  <c r="Q103" i="1"/>
  <c r="Q27" i="1" s="1"/>
  <c r="P101" i="1"/>
  <c r="R102" i="1"/>
  <c r="R26" i="1" s="1"/>
  <c r="Q102" i="1"/>
  <c r="P102" i="1"/>
  <c r="R101" i="1"/>
  <c r="R25" i="1" s="1"/>
  <c r="Q101" i="1"/>
  <c r="P99" i="1"/>
  <c r="R100" i="1"/>
  <c r="Q100" i="1"/>
  <c r="Q24" i="1" s="1"/>
  <c r="P100" i="1"/>
  <c r="R99" i="1"/>
  <c r="R23" i="1" s="1"/>
  <c r="Q99" i="1"/>
  <c r="P97" i="1"/>
  <c r="R98" i="1"/>
  <c r="R22" i="1" s="1"/>
  <c r="Q98" i="1"/>
  <c r="P98" i="1"/>
  <c r="R97" i="1"/>
  <c r="R21" i="1" s="1"/>
  <c r="Q97" i="1"/>
  <c r="P95" i="1"/>
  <c r="R96" i="1"/>
  <c r="Q96" i="1"/>
  <c r="Q20" i="1" s="1"/>
  <c r="P96" i="1"/>
  <c r="R94" i="1"/>
  <c r="R18" i="1" s="1"/>
  <c r="Q94" i="1"/>
  <c r="P94" i="1"/>
  <c r="R95" i="1"/>
  <c r="R19" i="1" s="1"/>
  <c r="Q95" i="1"/>
  <c r="P92" i="1"/>
  <c r="R93" i="1"/>
  <c r="R17" i="1" s="1"/>
  <c r="Q93" i="1"/>
  <c r="P93" i="1"/>
  <c r="R92" i="1"/>
  <c r="Q92" i="1"/>
  <c r="Q16" i="1" s="1"/>
  <c r="P88" i="1"/>
  <c r="R89" i="1"/>
  <c r="R13" i="1" s="1"/>
  <c r="Q89" i="1"/>
  <c r="P89" i="1"/>
  <c r="R88" i="1"/>
  <c r="R12" i="1" s="1"/>
  <c r="Q88" i="1"/>
  <c r="P83" i="1"/>
  <c r="R83" i="1"/>
  <c r="R7" i="1" s="1"/>
  <c r="Q83" i="1"/>
  <c r="O75" i="1"/>
  <c r="P74" i="1"/>
  <c r="P73" i="1"/>
  <c r="Q72" i="1"/>
  <c r="P72" i="1"/>
  <c r="Q71" i="1"/>
  <c r="P71" i="1"/>
  <c r="P70" i="1"/>
  <c r="Q69" i="1"/>
  <c r="P69" i="1"/>
  <c r="Q68" i="1"/>
  <c r="P68" i="1"/>
  <c r="Q67" i="1"/>
  <c r="P67" i="1"/>
  <c r="P66" i="1"/>
  <c r="P65" i="1"/>
  <c r="Q64" i="1"/>
  <c r="P64" i="1"/>
  <c r="Q63" i="1"/>
  <c r="P63" i="1"/>
  <c r="P62" i="1"/>
  <c r="Q61" i="1"/>
  <c r="P61" i="1"/>
  <c r="Q60" i="1"/>
  <c r="P60" i="1"/>
  <c r="P58" i="1"/>
  <c r="Q59" i="1"/>
  <c r="P59" i="1"/>
  <c r="Q57" i="1"/>
  <c r="P57" i="1"/>
  <c r="Q56" i="1"/>
  <c r="P56" i="1"/>
  <c r="Q55" i="1"/>
  <c r="P55" i="1"/>
  <c r="P54" i="1"/>
  <c r="O52" i="1"/>
  <c r="Q51" i="1"/>
  <c r="P51" i="1"/>
  <c r="Q50" i="1"/>
  <c r="P50" i="1"/>
  <c r="Q49" i="1"/>
  <c r="P49" i="1"/>
  <c r="P48" i="1"/>
  <c r="Q47" i="1"/>
  <c r="P47" i="1"/>
  <c r="P46" i="1"/>
  <c r="Q45" i="1"/>
  <c r="P45" i="1"/>
  <c r="Q43" i="1"/>
  <c r="P44" i="1"/>
  <c r="O37" i="1"/>
  <c r="O14" i="1"/>
  <c r="K112" i="1"/>
  <c r="L112" i="1"/>
  <c r="L36" i="1" s="1"/>
  <c r="K111" i="1"/>
  <c r="J112" i="1"/>
  <c r="L111" i="1"/>
  <c r="L35" i="1" s="1"/>
  <c r="K110" i="1"/>
  <c r="K34" i="1" s="1"/>
  <c r="J111" i="1"/>
  <c r="L110" i="1"/>
  <c r="K109" i="1"/>
  <c r="K33" i="1" s="1"/>
  <c r="J110" i="1"/>
  <c r="L109" i="1"/>
  <c r="K108" i="1"/>
  <c r="J109" i="1"/>
  <c r="L108" i="1"/>
  <c r="L32" i="1" s="1"/>
  <c r="K106" i="1"/>
  <c r="J108" i="1"/>
  <c r="L106" i="1"/>
  <c r="L30" i="1" s="1"/>
  <c r="K105" i="1"/>
  <c r="J106" i="1"/>
  <c r="L107" i="1"/>
  <c r="L31" i="1" s="1"/>
  <c r="K107" i="1"/>
  <c r="J107" i="1"/>
  <c r="L105" i="1"/>
  <c r="K103" i="1"/>
  <c r="J105" i="1"/>
  <c r="J29" i="1" s="1"/>
  <c r="L103" i="1"/>
  <c r="L27" i="1" s="1"/>
  <c r="K101" i="1"/>
  <c r="K25" i="1" s="1"/>
  <c r="J103" i="1"/>
  <c r="L104" i="1"/>
  <c r="L28" i="1" s="1"/>
  <c r="K104" i="1"/>
  <c r="J104" i="1"/>
  <c r="L101" i="1"/>
  <c r="K100" i="1"/>
  <c r="J101" i="1"/>
  <c r="L102" i="1"/>
  <c r="K102" i="1"/>
  <c r="K26" i="1" s="1"/>
  <c r="J102" i="1"/>
  <c r="L100" i="1"/>
  <c r="L24" i="1" s="1"/>
  <c r="K98" i="1"/>
  <c r="J100" i="1"/>
  <c r="L98" i="1"/>
  <c r="L22" i="1" s="1"/>
  <c r="K97" i="1"/>
  <c r="J98" i="1"/>
  <c r="L99" i="1"/>
  <c r="K99" i="1"/>
  <c r="K23" i="1" s="1"/>
  <c r="J99" i="1"/>
  <c r="L97" i="1"/>
  <c r="J97" i="1"/>
  <c r="J21" i="1" s="1"/>
  <c r="K94" i="1"/>
  <c r="K18" i="1" s="1"/>
  <c r="L96" i="1"/>
  <c r="L20" i="1" s="1"/>
  <c r="K96" i="1"/>
  <c r="J96" i="1"/>
  <c r="L94" i="1"/>
  <c r="K93" i="1"/>
  <c r="K17" i="1" s="1"/>
  <c r="J94" i="1"/>
  <c r="L93" i="1"/>
  <c r="J92" i="1"/>
  <c r="J93" i="1"/>
  <c r="L92" i="1"/>
  <c r="K92" i="1"/>
  <c r="J89" i="1"/>
  <c r="L88" i="1"/>
  <c r="K88" i="1"/>
  <c r="K12" i="1" s="1"/>
  <c r="J88" i="1"/>
  <c r="L89" i="1"/>
  <c r="L13" i="1" s="1"/>
  <c r="K89" i="1"/>
  <c r="J83" i="1"/>
  <c r="J7" i="1" s="1"/>
  <c r="L83" i="1"/>
  <c r="K83" i="1"/>
  <c r="I75" i="1"/>
  <c r="K74" i="1"/>
  <c r="J74" i="1"/>
  <c r="K73" i="1"/>
  <c r="J73" i="1"/>
  <c r="J72" i="1"/>
  <c r="K70" i="1"/>
  <c r="J70" i="1"/>
  <c r="J71" i="1"/>
  <c r="K69" i="1"/>
  <c r="J69" i="1"/>
  <c r="K68" i="1"/>
  <c r="J68" i="1"/>
  <c r="K66" i="1"/>
  <c r="J66" i="1"/>
  <c r="K65" i="1"/>
  <c r="J65" i="1"/>
  <c r="J64" i="1"/>
  <c r="J63" i="1"/>
  <c r="K62" i="1"/>
  <c r="J62" i="1"/>
  <c r="J61" i="1"/>
  <c r="K60" i="1"/>
  <c r="J60" i="1"/>
  <c r="K58" i="1"/>
  <c r="J58" i="1"/>
  <c r="J57" i="1"/>
  <c r="J55" i="1"/>
  <c r="I52" i="1"/>
  <c r="J56" i="1"/>
  <c r="K54" i="1"/>
  <c r="J54" i="1"/>
  <c r="K51" i="1"/>
  <c r="J51" i="1"/>
  <c r="J49" i="1"/>
  <c r="J50" i="1"/>
  <c r="J48" i="1"/>
  <c r="J47" i="1"/>
  <c r="K46" i="1"/>
  <c r="J46" i="1"/>
  <c r="K44" i="1"/>
  <c r="I37" i="1"/>
  <c r="J44" i="1"/>
  <c r="K43" i="1"/>
  <c r="I14" i="1"/>
  <c r="E100" i="1"/>
  <c r="S44" i="3"/>
  <c r="AJ44" i="3"/>
  <c r="AK44" i="3"/>
  <c r="U44" i="3"/>
  <c r="F93" i="1"/>
  <c r="V44" i="3"/>
  <c r="D92" i="1"/>
  <c r="M44" i="3"/>
  <c r="AD44" i="3"/>
  <c r="F107" i="1"/>
  <c r="E102" i="1"/>
  <c r="D97" i="1"/>
  <c r="N44" i="3"/>
  <c r="AF44" i="3"/>
  <c r="F112" i="1"/>
  <c r="E107" i="1"/>
  <c r="D102" i="1"/>
  <c r="F96" i="1"/>
  <c r="O44" i="3"/>
  <c r="AG44" i="3"/>
  <c r="E112" i="1"/>
  <c r="D107" i="1"/>
  <c r="F101" i="1"/>
  <c r="E96" i="1"/>
  <c r="P44" i="3"/>
  <c r="AH44" i="3"/>
  <c r="D112" i="1"/>
  <c r="F106" i="1"/>
  <c r="E101" i="1"/>
  <c r="D96" i="1"/>
  <c r="Q44" i="3"/>
  <c r="AI44" i="3"/>
  <c r="F111" i="1"/>
  <c r="E106" i="1"/>
  <c r="D101" i="1"/>
  <c r="E111" i="1"/>
  <c r="D106" i="1"/>
  <c r="F100" i="1"/>
  <c r="D111" i="1"/>
  <c r="F105" i="1"/>
  <c r="AL44" i="3"/>
  <c r="F110" i="1"/>
  <c r="E105" i="1"/>
  <c r="D100" i="1"/>
  <c r="F94" i="1"/>
  <c r="AM44" i="3"/>
  <c r="E110" i="1"/>
  <c r="D105" i="1"/>
  <c r="F99" i="1"/>
  <c r="E94" i="1"/>
  <c r="F44" i="3"/>
  <c r="W44" i="3"/>
  <c r="AN44" i="3"/>
  <c r="D110" i="1"/>
  <c r="F104" i="1"/>
  <c r="E99" i="1"/>
  <c r="D94" i="1"/>
  <c r="G44" i="3"/>
  <c r="F109" i="1"/>
  <c r="E104" i="1"/>
  <c r="D99" i="1"/>
  <c r="X44" i="3"/>
  <c r="AO44" i="3"/>
  <c r="H44" i="3"/>
  <c r="Y44" i="3"/>
  <c r="AP44" i="3"/>
  <c r="T44" i="3"/>
  <c r="E109" i="1"/>
  <c r="D104" i="1"/>
  <c r="F98" i="1"/>
  <c r="E93" i="1"/>
  <c r="I44" i="3"/>
  <c r="AQ44" i="3"/>
  <c r="D109" i="1"/>
  <c r="F103" i="1"/>
  <c r="E98" i="1"/>
  <c r="D93" i="1"/>
  <c r="Z44" i="3"/>
  <c r="J44" i="3"/>
  <c r="AA44" i="3"/>
  <c r="F108" i="1"/>
  <c r="E103" i="1"/>
  <c r="D98" i="1"/>
  <c r="F92" i="1"/>
  <c r="K44" i="3"/>
  <c r="AB44" i="3"/>
  <c r="E108" i="1"/>
  <c r="D103" i="1"/>
  <c r="F97" i="1"/>
  <c r="E92" i="1"/>
  <c r="L44" i="3"/>
  <c r="AC44" i="3"/>
  <c r="D108" i="1"/>
  <c r="F102" i="1"/>
  <c r="E97" i="1"/>
  <c r="J22" i="3"/>
  <c r="J22" i="2"/>
  <c r="H22" i="2"/>
  <c r="D45" i="1"/>
  <c r="D67" i="1"/>
  <c r="D88" i="1"/>
  <c r="D83" i="1"/>
  <c r="D89" i="1"/>
  <c r="AR28" i="3"/>
  <c r="AR44" i="3" s="1"/>
  <c r="R28" i="3"/>
  <c r="R44" i="3" s="1"/>
  <c r="AE28" i="3"/>
  <c r="AE44" i="3" s="1"/>
  <c r="D66" i="1"/>
  <c r="D58" i="1"/>
  <c r="D74" i="1"/>
  <c r="K5" i="3"/>
  <c r="K22" i="3" s="1"/>
  <c r="L5" i="3"/>
  <c r="N5" i="3"/>
  <c r="M5" i="3"/>
  <c r="H62" i="6"/>
  <c r="H59" i="6"/>
  <c r="H60" i="6"/>
  <c r="H61" i="6"/>
  <c r="H41" i="6"/>
  <c r="H42" i="6"/>
  <c r="H45" i="6"/>
  <c r="F26" i="7"/>
  <c r="D73" i="1"/>
  <c r="D55" i="1"/>
  <c r="H22" i="6"/>
  <c r="H24" i="6"/>
  <c r="H25" i="6"/>
  <c r="H31" i="6"/>
  <c r="D70" i="1"/>
  <c r="F80" i="7"/>
  <c r="F107" i="7"/>
  <c r="D61" i="1"/>
  <c r="D62" i="1"/>
  <c r="H8" i="6"/>
  <c r="K49" i="1" s="1"/>
  <c r="D56" i="1"/>
  <c r="D64" i="1"/>
  <c r="H7" i="6"/>
  <c r="K48" i="1" s="1"/>
  <c r="H5" i="6"/>
  <c r="K47" i="1" s="1"/>
  <c r="D69" i="1"/>
  <c r="F69" i="1"/>
  <c r="G71" i="6"/>
  <c r="I71" i="6" s="1"/>
  <c r="D51" i="1"/>
  <c r="H52" i="6"/>
  <c r="G28" i="6"/>
  <c r="D60" i="1"/>
  <c r="D50" i="1"/>
  <c r="D65" i="1"/>
  <c r="D46" i="1"/>
  <c r="G66" i="6"/>
  <c r="I66" i="6" s="1"/>
  <c r="E43" i="1"/>
  <c r="H26" i="7"/>
  <c r="G26" i="7" s="1"/>
  <c r="E65" i="1"/>
  <c r="E73" i="1"/>
  <c r="D72" i="1"/>
  <c r="D57" i="1"/>
  <c r="H80" i="7"/>
  <c r="G80" i="7" s="1"/>
  <c r="C27" i="1"/>
  <c r="J60" i="7"/>
  <c r="E69" i="1"/>
  <c r="F53" i="7"/>
  <c r="G35" i="6"/>
  <c r="H53" i="7"/>
  <c r="G53" i="7" s="1"/>
  <c r="D68" i="1"/>
  <c r="D59" i="1"/>
  <c r="D54" i="1"/>
  <c r="G17" i="6"/>
  <c r="C13" i="1"/>
  <c r="D44" i="1"/>
  <c r="G14" i="6"/>
  <c r="G34" i="6"/>
  <c r="D49" i="1"/>
  <c r="L4" i="7"/>
  <c r="L55" i="1" s="1"/>
  <c r="L34" i="7"/>
  <c r="E58" i="1"/>
  <c r="L41" i="7"/>
  <c r="L84" i="7"/>
  <c r="AD54" i="1" s="1"/>
  <c r="H35" i="6"/>
  <c r="G64" i="6"/>
  <c r="G46" i="6"/>
  <c r="G48" i="6"/>
  <c r="L5" i="7"/>
  <c r="L56" i="1" s="1"/>
  <c r="L12" i="7"/>
  <c r="L63" i="1" s="1"/>
  <c r="L25" i="7"/>
  <c r="L50" i="1" s="1"/>
  <c r="E66" i="1"/>
  <c r="L42" i="7"/>
  <c r="L49" i="7"/>
  <c r="H107" i="7"/>
  <c r="G107" i="7" s="1"/>
  <c r="J85" i="7"/>
  <c r="D63" i="1"/>
  <c r="J93" i="7"/>
  <c r="J101" i="7"/>
  <c r="D71" i="1"/>
  <c r="H48" i="6"/>
  <c r="H51" i="6"/>
  <c r="L20" i="7"/>
  <c r="L71" i="1" s="1"/>
  <c r="E54" i="1"/>
  <c r="L30" i="7"/>
  <c r="R54" i="1" s="1"/>
  <c r="J53" i="7"/>
  <c r="G31" i="6"/>
  <c r="D47" i="1"/>
  <c r="D48" i="1"/>
  <c r="G51" i="6"/>
  <c r="L21" i="7"/>
  <c r="L72" i="1" s="1"/>
  <c r="E62" i="1"/>
  <c r="L38" i="7"/>
  <c r="L50" i="7"/>
  <c r="E74" i="1"/>
  <c r="L6" i="7"/>
  <c r="L57" i="1" s="1"/>
  <c r="C6" i="1"/>
  <c r="C52" i="1"/>
  <c r="G12" i="6"/>
  <c r="G10" i="6"/>
  <c r="E70" i="1"/>
  <c r="L46" i="7"/>
  <c r="H17" i="6"/>
  <c r="C17" i="1"/>
  <c r="C75" i="1"/>
  <c r="L10" i="7"/>
  <c r="L61" i="1" s="1"/>
  <c r="E61" i="1"/>
  <c r="L13" i="7"/>
  <c r="L64" i="1" s="1"/>
  <c r="H71" i="6"/>
  <c r="H66" i="6"/>
  <c r="J8" i="7"/>
  <c r="K59" i="1" s="1"/>
  <c r="J16" i="7"/>
  <c r="K67" i="1" s="1"/>
  <c r="J24" i="7"/>
  <c r="K45" i="1" s="1"/>
  <c r="J86" i="7"/>
  <c r="J90" i="7"/>
  <c r="J94" i="7"/>
  <c r="J98" i="7"/>
  <c r="AC68" i="1" s="1"/>
  <c r="J102" i="7"/>
  <c r="J106" i="7"/>
  <c r="H34" i="6"/>
  <c r="AC29" i="1" l="1"/>
  <c r="I77" i="1"/>
  <c r="AC19" i="1"/>
  <c r="AC35" i="1"/>
  <c r="AC16" i="1"/>
  <c r="AC113" i="1"/>
  <c r="AD113" i="1"/>
  <c r="AB113" i="1"/>
  <c r="AB35" i="1"/>
  <c r="AC27" i="1"/>
  <c r="AC36" i="1"/>
  <c r="AB36" i="1"/>
  <c r="AA77" i="1"/>
  <c r="AC24" i="1"/>
  <c r="AC32" i="1"/>
  <c r="AB75" i="1"/>
  <c r="AC31" i="1"/>
  <c r="AB31" i="1"/>
  <c r="AB32" i="1"/>
  <c r="AC20" i="1"/>
  <c r="AC28" i="1"/>
  <c r="AB29" i="1"/>
  <c r="AB28" i="1"/>
  <c r="AB27" i="1"/>
  <c r="L102" i="7"/>
  <c r="AD72" i="1" s="1"/>
  <c r="AD34" i="1" s="1"/>
  <c r="AC72" i="1"/>
  <c r="AC34" i="1" s="1"/>
  <c r="L101" i="7"/>
  <c r="AD71" i="1" s="1"/>
  <c r="AD33" i="1" s="1"/>
  <c r="AC71" i="1"/>
  <c r="AC33" i="1" s="1"/>
  <c r="AB23" i="1"/>
  <c r="AB16" i="1"/>
  <c r="AC23" i="1"/>
  <c r="AC30" i="1"/>
  <c r="AB7" i="1"/>
  <c r="AB13" i="1"/>
  <c r="AB24" i="1"/>
  <c r="AC21" i="1"/>
  <c r="AB21" i="1"/>
  <c r="W30" i="1"/>
  <c r="AB20" i="1"/>
  <c r="L94" i="7"/>
  <c r="AD64" i="1" s="1"/>
  <c r="AD26" i="1" s="1"/>
  <c r="AC64" i="1"/>
  <c r="AC26" i="1" s="1"/>
  <c r="AB19" i="1"/>
  <c r="L93" i="7"/>
  <c r="AD63" i="1" s="1"/>
  <c r="AD25" i="1" s="1"/>
  <c r="AC63" i="1"/>
  <c r="AC25" i="1" s="1"/>
  <c r="AC13" i="1"/>
  <c r="L90" i="7"/>
  <c r="AC60" i="1"/>
  <c r="AC22" i="1" s="1"/>
  <c r="L86" i="7"/>
  <c r="AD56" i="1" s="1"/>
  <c r="AD18" i="1" s="1"/>
  <c r="AC56" i="1"/>
  <c r="AC18" i="1" s="1"/>
  <c r="L85" i="7"/>
  <c r="AD55" i="1" s="1"/>
  <c r="AD17" i="1" s="1"/>
  <c r="AC55" i="1"/>
  <c r="AC7" i="1"/>
  <c r="AB52" i="1"/>
  <c r="AD16" i="1"/>
  <c r="L106" i="7"/>
  <c r="AD50" i="1" s="1"/>
  <c r="AD12" i="1" s="1"/>
  <c r="AC50" i="1"/>
  <c r="AC12" i="1" s="1"/>
  <c r="I62" i="6"/>
  <c r="AC49" i="1"/>
  <c r="I61" i="6"/>
  <c r="AC48" i="1"/>
  <c r="I59" i="6"/>
  <c r="AC47" i="1"/>
  <c r="W36" i="1"/>
  <c r="I60" i="6"/>
  <c r="AC44" i="1"/>
  <c r="AA39" i="1"/>
  <c r="W33" i="1"/>
  <c r="W113" i="1"/>
  <c r="X16" i="1"/>
  <c r="X113" i="1"/>
  <c r="V113" i="1"/>
  <c r="W28" i="1"/>
  <c r="V24" i="1"/>
  <c r="W25" i="1"/>
  <c r="V29" i="1"/>
  <c r="W29" i="1"/>
  <c r="V28" i="1"/>
  <c r="V36" i="1"/>
  <c r="W35" i="1"/>
  <c r="V21" i="1"/>
  <c r="V31" i="1"/>
  <c r="U77" i="1"/>
  <c r="V35" i="1"/>
  <c r="V34" i="1"/>
  <c r="W26" i="1"/>
  <c r="W34" i="1"/>
  <c r="W32" i="1"/>
  <c r="V33" i="1"/>
  <c r="V32" i="1"/>
  <c r="W31" i="1"/>
  <c r="V16" i="1"/>
  <c r="W23" i="1"/>
  <c r="V22" i="1"/>
  <c r="V75" i="1"/>
  <c r="V30" i="1"/>
  <c r="V12" i="1"/>
  <c r="V20" i="1"/>
  <c r="W27" i="1"/>
  <c r="V27" i="1"/>
  <c r="V26" i="1"/>
  <c r="V17" i="1"/>
  <c r="W24" i="1"/>
  <c r="V25" i="1"/>
  <c r="W12" i="1"/>
  <c r="W22" i="1"/>
  <c r="V23" i="1"/>
  <c r="W21" i="1"/>
  <c r="W20" i="1"/>
  <c r="W17" i="1"/>
  <c r="W18" i="1"/>
  <c r="V18" i="1"/>
  <c r="W16" i="1"/>
  <c r="V13" i="1"/>
  <c r="L60" i="7"/>
  <c r="F57" i="1" s="1"/>
  <c r="W57" i="1"/>
  <c r="W75" i="1" s="1"/>
  <c r="P23" i="1"/>
  <c r="V52" i="1"/>
  <c r="W7" i="1"/>
  <c r="V7" i="1"/>
  <c r="I45" i="6"/>
  <c r="X51" i="1" s="1"/>
  <c r="X13" i="1" s="1"/>
  <c r="W51" i="1"/>
  <c r="W13" i="1" s="1"/>
  <c r="U39" i="1"/>
  <c r="I41" i="6"/>
  <c r="X47" i="1" s="1"/>
  <c r="W47" i="1"/>
  <c r="P33" i="1"/>
  <c r="I42" i="6"/>
  <c r="X44" i="1" s="1"/>
  <c r="W44" i="1"/>
  <c r="Q113" i="1"/>
  <c r="R113" i="1"/>
  <c r="P113" i="1"/>
  <c r="Q26" i="1"/>
  <c r="Q17" i="1"/>
  <c r="P26" i="1"/>
  <c r="Q21" i="1"/>
  <c r="Q30" i="1"/>
  <c r="P36" i="1"/>
  <c r="Q12" i="1"/>
  <c r="O77" i="1"/>
  <c r="P25" i="1"/>
  <c r="Q34" i="1"/>
  <c r="P34" i="1"/>
  <c r="P13" i="1"/>
  <c r="P35" i="1"/>
  <c r="P32" i="1"/>
  <c r="Q33" i="1"/>
  <c r="Q23" i="1"/>
  <c r="P22" i="1"/>
  <c r="P24" i="1"/>
  <c r="P31" i="1"/>
  <c r="P21" i="1"/>
  <c r="P30" i="1"/>
  <c r="P20" i="1"/>
  <c r="P29" i="1"/>
  <c r="Q31" i="1"/>
  <c r="Q29" i="1"/>
  <c r="Q19" i="1"/>
  <c r="P28" i="1"/>
  <c r="Q75" i="1"/>
  <c r="P75" i="1"/>
  <c r="F74" i="1"/>
  <c r="F36" i="1" s="1"/>
  <c r="R74" i="1"/>
  <c r="R36" i="1" s="1"/>
  <c r="F73" i="1"/>
  <c r="F35" i="1" s="1"/>
  <c r="R73" i="1"/>
  <c r="R35" i="1" s="1"/>
  <c r="P27" i="1"/>
  <c r="Q25" i="1"/>
  <c r="F70" i="1"/>
  <c r="F32" i="1" s="1"/>
  <c r="R70" i="1"/>
  <c r="R32" i="1" s="1"/>
  <c r="P12" i="1"/>
  <c r="Q22" i="1"/>
  <c r="F66" i="1"/>
  <c r="F28" i="1" s="1"/>
  <c r="R66" i="1"/>
  <c r="R28" i="1" s="1"/>
  <c r="P19" i="1"/>
  <c r="F65" i="1"/>
  <c r="F27" i="1" s="1"/>
  <c r="R65" i="1"/>
  <c r="R27" i="1" s="1"/>
  <c r="Q18" i="1"/>
  <c r="P18" i="1"/>
  <c r="P17" i="1"/>
  <c r="F62" i="1"/>
  <c r="F24" i="1" s="1"/>
  <c r="R62" i="1"/>
  <c r="R24" i="1" s="1"/>
  <c r="Q13" i="1"/>
  <c r="P16" i="1"/>
  <c r="F58" i="1"/>
  <c r="F20" i="1" s="1"/>
  <c r="R58" i="1"/>
  <c r="Q7" i="1"/>
  <c r="R16" i="1"/>
  <c r="P52" i="1"/>
  <c r="P7" i="1"/>
  <c r="I25" i="6"/>
  <c r="R48" i="1" s="1"/>
  <c r="Q48" i="1"/>
  <c r="I22" i="6"/>
  <c r="R46" i="1" s="1"/>
  <c r="Q46" i="1"/>
  <c r="O39" i="1"/>
  <c r="I24" i="6"/>
  <c r="R44" i="1" s="1"/>
  <c r="Q44" i="1"/>
  <c r="J26" i="1"/>
  <c r="K35" i="1"/>
  <c r="L16" i="1"/>
  <c r="J35" i="1"/>
  <c r="J13" i="1"/>
  <c r="J32" i="1"/>
  <c r="J20" i="1"/>
  <c r="K32" i="1"/>
  <c r="J34" i="1"/>
  <c r="J33" i="1"/>
  <c r="K28" i="1"/>
  <c r="K36" i="1"/>
  <c r="J36" i="1"/>
  <c r="J22" i="1"/>
  <c r="K31" i="1"/>
  <c r="J23" i="1"/>
  <c r="K30" i="1"/>
  <c r="J31" i="1"/>
  <c r="J75" i="1"/>
  <c r="K75" i="1"/>
  <c r="J30" i="1"/>
  <c r="J28" i="1"/>
  <c r="K16" i="1"/>
  <c r="J27" i="1"/>
  <c r="K27" i="1"/>
  <c r="J18" i="1"/>
  <c r="J25" i="1"/>
  <c r="L34" i="1"/>
  <c r="L33" i="1"/>
  <c r="K24" i="1"/>
  <c r="K22" i="1"/>
  <c r="K29" i="1"/>
  <c r="K20" i="1"/>
  <c r="K13" i="1"/>
  <c r="J24" i="1"/>
  <c r="L26" i="1"/>
  <c r="L25" i="1"/>
  <c r="J17" i="1"/>
  <c r="J16" i="1"/>
  <c r="L23" i="1"/>
  <c r="J12" i="1"/>
  <c r="K21" i="1"/>
  <c r="L17" i="1"/>
  <c r="L18" i="1"/>
  <c r="J52" i="1"/>
  <c r="K52" i="1"/>
  <c r="L12" i="1"/>
  <c r="K7" i="1"/>
  <c r="I39" i="1"/>
  <c r="I5" i="6"/>
  <c r="L47" i="1" s="1"/>
  <c r="I8" i="6"/>
  <c r="L49" i="1" s="1"/>
  <c r="F61" i="1"/>
  <c r="F23" i="1" s="1"/>
  <c r="I7" i="6"/>
  <c r="L48" i="1" s="1"/>
  <c r="M5" i="2"/>
  <c r="M22" i="3"/>
  <c r="N5" i="2"/>
  <c r="N22" i="3"/>
  <c r="L5" i="2"/>
  <c r="L22" i="3"/>
  <c r="F28" i="2"/>
  <c r="E28" i="2"/>
  <c r="G28" i="2"/>
  <c r="L95" i="1" s="1"/>
  <c r="L113" i="1" s="1"/>
  <c r="K5" i="2"/>
  <c r="D29" i="1"/>
  <c r="D28" i="1"/>
  <c r="D36" i="1"/>
  <c r="D20" i="1"/>
  <c r="E31" i="1"/>
  <c r="H68" i="6"/>
  <c r="H33" i="6"/>
  <c r="H67" i="6"/>
  <c r="E35" i="1"/>
  <c r="H69" i="6"/>
  <c r="D7" i="1"/>
  <c r="D13" i="1"/>
  <c r="D12" i="1"/>
  <c r="D22" i="1"/>
  <c r="H53" i="6"/>
  <c r="H30" i="6"/>
  <c r="E63" i="1"/>
  <c r="E25" i="1" s="1"/>
  <c r="D18" i="1"/>
  <c r="H49" i="6"/>
  <c r="H70" i="6"/>
  <c r="H50" i="6"/>
  <c r="D35" i="1"/>
  <c r="O5" i="3"/>
  <c r="E57" i="1"/>
  <c r="H32" i="6"/>
  <c r="D32" i="1"/>
  <c r="D34" i="1"/>
  <c r="D17" i="1"/>
  <c r="E27" i="1"/>
  <c r="D23" i="1"/>
  <c r="J80" i="7"/>
  <c r="I80" i="7" s="1"/>
  <c r="D24" i="1"/>
  <c r="E71" i="1"/>
  <c r="E33" i="1" s="1"/>
  <c r="F31" i="1"/>
  <c r="D27" i="1"/>
  <c r="C37" i="1"/>
  <c r="D31" i="1"/>
  <c r="D26" i="1"/>
  <c r="D30" i="1"/>
  <c r="C14" i="1"/>
  <c r="E64" i="1"/>
  <c r="E26" i="1" s="1"/>
  <c r="E23" i="1"/>
  <c r="D21" i="1"/>
  <c r="D75" i="1"/>
  <c r="I53" i="7"/>
  <c r="E28" i="1"/>
  <c r="L98" i="7"/>
  <c r="AD68" i="1" s="1"/>
  <c r="AD30" i="1" s="1"/>
  <c r="E68" i="1"/>
  <c r="E30" i="1" s="1"/>
  <c r="F43" i="1"/>
  <c r="I35" i="6"/>
  <c r="H12" i="6"/>
  <c r="E46" i="1"/>
  <c r="E24" i="1"/>
  <c r="H16" i="6"/>
  <c r="E49" i="1"/>
  <c r="I48" i="6"/>
  <c r="I51" i="6"/>
  <c r="H13" i="6"/>
  <c r="E47" i="1"/>
  <c r="C77" i="1"/>
  <c r="J107" i="7"/>
  <c r="I107" i="7" s="1"/>
  <c r="H64" i="6"/>
  <c r="H28" i="6"/>
  <c r="E51" i="1"/>
  <c r="E13" i="1" s="1"/>
  <c r="E50" i="1"/>
  <c r="E12" i="1" s="1"/>
  <c r="E20" i="1"/>
  <c r="E45" i="1"/>
  <c r="E7" i="1" s="1"/>
  <c r="L24" i="7"/>
  <c r="E32" i="1"/>
  <c r="H46" i="6"/>
  <c r="E67" i="1"/>
  <c r="E29" i="1" s="1"/>
  <c r="L16" i="7"/>
  <c r="I31" i="6"/>
  <c r="I34" i="6"/>
  <c r="E59" i="1"/>
  <c r="E21" i="1" s="1"/>
  <c r="L8" i="7"/>
  <c r="D16" i="1"/>
  <c r="E56" i="1"/>
  <c r="E18" i="1" s="1"/>
  <c r="L53" i="7"/>
  <c r="K53" i="7" s="1"/>
  <c r="I52" i="6"/>
  <c r="E44" i="1"/>
  <c r="H14" i="6"/>
  <c r="E16" i="1"/>
  <c r="D33" i="1"/>
  <c r="E55" i="1"/>
  <c r="E17" i="1" s="1"/>
  <c r="D52" i="1"/>
  <c r="E60" i="1"/>
  <c r="E22" i="1" s="1"/>
  <c r="H10" i="6"/>
  <c r="E36" i="1"/>
  <c r="J26" i="7"/>
  <c r="I26" i="7" s="1"/>
  <c r="F54" i="1"/>
  <c r="E48" i="1"/>
  <c r="H15" i="6"/>
  <c r="E72" i="1"/>
  <c r="E34" i="1" s="1"/>
  <c r="I17" i="6"/>
  <c r="D25" i="1"/>
  <c r="D95" i="1" l="1"/>
  <c r="D19" i="1" s="1"/>
  <c r="J95" i="1"/>
  <c r="E95" i="1"/>
  <c r="E113" i="1" s="1"/>
  <c r="K95" i="1"/>
  <c r="L19" i="1"/>
  <c r="G44" i="2"/>
  <c r="F95" i="1"/>
  <c r="F113" i="1" s="1"/>
  <c r="F64" i="1"/>
  <c r="F26" i="1" s="1"/>
  <c r="F56" i="1"/>
  <c r="F18" i="1" s="1"/>
  <c r="F72" i="1"/>
  <c r="F34" i="1" s="1"/>
  <c r="AB77" i="1"/>
  <c r="AC75" i="1"/>
  <c r="AC37" i="1" s="1"/>
  <c r="F63" i="1"/>
  <c r="F25" i="1" s="1"/>
  <c r="F71" i="1"/>
  <c r="F33" i="1" s="1"/>
  <c r="F55" i="1"/>
  <c r="F17" i="1" s="1"/>
  <c r="AB37" i="1"/>
  <c r="F50" i="1"/>
  <c r="F12" i="1" s="1"/>
  <c r="F60" i="1"/>
  <c r="F22" i="1" s="1"/>
  <c r="AD60" i="1"/>
  <c r="AD22" i="1" s="1"/>
  <c r="AC17" i="1"/>
  <c r="AC52" i="1"/>
  <c r="I64" i="6"/>
  <c r="I70" i="6"/>
  <c r="AD49" i="1"/>
  <c r="I69" i="6"/>
  <c r="AD48" i="1"/>
  <c r="I67" i="6"/>
  <c r="AD47" i="1"/>
  <c r="I68" i="6"/>
  <c r="AD44" i="1"/>
  <c r="V77" i="1"/>
  <c r="W37" i="1"/>
  <c r="V37" i="1"/>
  <c r="I50" i="6"/>
  <c r="L80" i="7"/>
  <c r="K80" i="7" s="1"/>
  <c r="X57" i="1"/>
  <c r="X75" i="1" s="1"/>
  <c r="W52" i="1"/>
  <c r="W77" i="1" s="1"/>
  <c r="I53" i="6"/>
  <c r="W19" i="1"/>
  <c r="I49" i="6"/>
  <c r="X52" i="1"/>
  <c r="R75" i="1"/>
  <c r="R37" i="1" s="1"/>
  <c r="P77" i="1"/>
  <c r="Q37" i="1"/>
  <c r="P37" i="1"/>
  <c r="R20" i="1"/>
  <c r="Q52" i="1"/>
  <c r="Q77" i="1" s="1"/>
  <c r="I33" i="6"/>
  <c r="R52" i="1"/>
  <c r="I30" i="6"/>
  <c r="I32" i="6"/>
  <c r="K77" i="1"/>
  <c r="J77" i="1"/>
  <c r="L67" i="1"/>
  <c r="L29" i="1" s="1"/>
  <c r="L59" i="1"/>
  <c r="L45" i="1"/>
  <c r="L52" i="1" s="1"/>
  <c r="K22" i="2"/>
  <c r="F68" i="1"/>
  <c r="F30" i="1" s="1"/>
  <c r="F59" i="1"/>
  <c r="F21" i="1" s="1"/>
  <c r="F67" i="1"/>
  <c r="F29" i="1" s="1"/>
  <c r="F45" i="1"/>
  <c r="F7" i="1" s="1"/>
  <c r="L22" i="2"/>
  <c r="N22" i="2"/>
  <c r="M22" i="2"/>
  <c r="O5" i="2"/>
  <c r="O22" i="2" s="1"/>
  <c r="O22" i="3"/>
  <c r="V6" i="2"/>
  <c r="E44" i="2"/>
  <c r="W6" i="2" s="1"/>
  <c r="F44" i="2"/>
  <c r="X6" i="2" s="1"/>
  <c r="AL5" i="3"/>
  <c r="AL22" i="3" s="1"/>
  <c r="V5" i="3"/>
  <c r="V22" i="3" s="1"/>
  <c r="BA5" i="3"/>
  <c r="BA22" i="3" s="1"/>
  <c r="AK5" i="3"/>
  <c r="AK22" i="3" s="1"/>
  <c r="U5" i="3"/>
  <c r="U22" i="3" s="1"/>
  <c r="AZ5" i="3"/>
  <c r="AZ22" i="3" s="1"/>
  <c r="AJ5" i="3"/>
  <c r="AJ22" i="3" s="1"/>
  <c r="T5" i="3"/>
  <c r="T22" i="3" s="1"/>
  <c r="AY5" i="3"/>
  <c r="AY22" i="3" s="1"/>
  <c r="AI5" i="3"/>
  <c r="AI22" i="3" s="1"/>
  <c r="S5" i="3"/>
  <c r="S22" i="3" s="1"/>
  <c r="AX5" i="3"/>
  <c r="AX22" i="3" s="1"/>
  <c r="AH5" i="3"/>
  <c r="AH22" i="3" s="1"/>
  <c r="R5" i="3"/>
  <c r="R22" i="3" s="1"/>
  <c r="AW5" i="3"/>
  <c r="AW22" i="3" s="1"/>
  <c r="AG5" i="3"/>
  <c r="AG22" i="3" s="1"/>
  <c r="Q5" i="3"/>
  <c r="Q22" i="3" s="1"/>
  <c r="AV5" i="3"/>
  <c r="AV22" i="3" s="1"/>
  <c r="AF5" i="3"/>
  <c r="AF22" i="3" s="1"/>
  <c r="P5" i="3"/>
  <c r="P22" i="3" s="1"/>
  <c r="AU5" i="3"/>
  <c r="AU22" i="3" s="1"/>
  <c r="AE5" i="3"/>
  <c r="AE22" i="3" s="1"/>
  <c r="AT5" i="3"/>
  <c r="AT22" i="3" s="1"/>
  <c r="AD5" i="3"/>
  <c r="AD22" i="3" s="1"/>
  <c r="AS5" i="3"/>
  <c r="AS22" i="3" s="1"/>
  <c r="AC5" i="3"/>
  <c r="AC22" i="3" s="1"/>
  <c r="AR5" i="3"/>
  <c r="AR22" i="3" s="1"/>
  <c r="AQ5" i="3"/>
  <c r="AQ22" i="3" s="1"/>
  <c r="AA5" i="3"/>
  <c r="AA22" i="3" s="1"/>
  <c r="AP5" i="3"/>
  <c r="AP22" i="3" s="1"/>
  <c r="Z5" i="3"/>
  <c r="Z22" i="3" s="1"/>
  <c r="Y5" i="3"/>
  <c r="Y22" i="3" s="1"/>
  <c r="AN5" i="3"/>
  <c r="AN22" i="3" s="1"/>
  <c r="X5" i="3"/>
  <c r="X22" i="3" s="1"/>
  <c r="AM5" i="3"/>
  <c r="AM22" i="3" s="1"/>
  <c r="W5" i="3"/>
  <c r="W22" i="3" s="1"/>
  <c r="L107" i="7"/>
  <c r="K107" i="7" s="1"/>
  <c r="C39" i="1"/>
  <c r="F16" i="1"/>
  <c r="D77" i="1"/>
  <c r="F44" i="1"/>
  <c r="I14" i="6"/>
  <c r="F48" i="1"/>
  <c r="I15" i="6"/>
  <c r="I12" i="6"/>
  <c r="F46" i="1"/>
  <c r="I16" i="6"/>
  <c r="F49" i="1"/>
  <c r="I10" i="6"/>
  <c r="I13" i="6"/>
  <c r="F47" i="1"/>
  <c r="E75" i="1"/>
  <c r="L26" i="7"/>
  <c r="K26" i="7" s="1"/>
  <c r="E52" i="1"/>
  <c r="I46" i="6"/>
  <c r="I28" i="6"/>
  <c r="F51" i="1"/>
  <c r="F13" i="1" s="1"/>
  <c r="E37" i="1" l="1"/>
  <c r="D37" i="1"/>
  <c r="D113" i="1"/>
  <c r="F19" i="1"/>
  <c r="E19" i="1"/>
  <c r="K19" i="1"/>
  <c r="K113" i="1"/>
  <c r="K37" i="1" s="1"/>
  <c r="J113" i="1"/>
  <c r="J19" i="1"/>
  <c r="AC77" i="1"/>
  <c r="AD75" i="1"/>
  <c r="AD37" i="1" s="1"/>
  <c r="AD52" i="1"/>
  <c r="X77" i="1"/>
  <c r="X19" i="1"/>
  <c r="R77" i="1"/>
  <c r="L75" i="1"/>
  <c r="L77" i="1" s="1"/>
  <c r="L21" i="1"/>
  <c r="L7" i="1"/>
  <c r="F75" i="1"/>
  <c r="F37" i="1" s="1"/>
  <c r="BB5" i="3"/>
  <c r="AO5" i="3"/>
  <c r="AB5" i="3"/>
  <c r="E77" i="1"/>
  <c r="F52" i="1"/>
  <c r="J37" i="1" l="1"/>
  <c r="AD77" i="1"/>
  <c r="X37" i="1"/>
  <c r="L37" i="1"/>
  <c r="R5" i="2"/>
  <c r="BB22" i="3"/>
  <c r="Q5" i="2"/>
  <c r="AO22" i="3"/>
  <c r="P5" i="2"/>
  <c r="AB22" i="3"/>
  <c r="F77" i="1"/>
  <c r="AC86" i="1" l="1" a="1"/>
  <c r="AC86" i="1" s="1"/>
  <c r="AC10" i="1" s="1"/>
  <c r="AC87" i="1" a="1"/>
  <c r="AC87" i="1" s="1"/>
  <c r="AB86" i="1" a="1"/>
  <c r="AB86" i="1" s="1"/>
  <c r="AB87" i="1" a="1"/>
  <c r="AB87" i="1" s="1"/>
  <c r="AB11" i="1" s="1"/>
  <c r="AD86" i="1" a="1"/>
  <c r="AD86" i="1" s="1"/>
  <c r="AD10" i="1" s="1"/>
  <c r="AD87" i="1" a="1"/>
  <c r="AD87" i="1" s="1"/>
  <c r="AD11" i="1" s="1"/>
  <c r="AC84" i="1" a="1"/>
  <c r="AC84" i="1" s="1"/>
  <c r="AC85" i="1" a="1"/>
  <c r="AC85" i="1" s="1"/>
  <c r="AC9" i="1" s="1"/>
  <c r="AD84" i="1" a="1"/>
  <c r="AD84" i="1" s="1"/>
  <c r="AD8" i="1" s="1"/>
  <c r="AD85" i="1" a="1"/>
  <c r="AD85" i="1" s="1"/>
  <c r="AD9" i="1" s="1"/>
  <c r="AB84" i="1" a="1"/>
  <c r="AB84" i="1" s="1"/>
  <c r="AB8" i="1" s="1"/>
  <c r="AB85" i="1" a="1"/>
  <c r="AB85" i="1" s="1"/>
  <c r="AB9" i="1" s="1"/>
  <c r="AD81" i="1" a="1"/>
  <c r="AD81" i="1" s="1"/>
  <c r="AD5" i="1" s="1"/>
  <c r="AD82" i="1" a="1"/>
  <c r="AD82" i="1" s="1"/>
  <c r="AD6" i="1" s="1"/>
  <c r="AC81" i="1" a="1"/>
  <c r="AC81" i="1" s="1"/>
  <c r="AC82" i="1" a="1"/>
  <c r="AC82" i="1" s="1"/>
  <c r="AC6" i="1" s="1"/>
  <c r="AB81" i="1" a="1"/>
  <c r="AB81" i="1" s="1"/>
  <c r="AB5" i="1" s="1"/>
  <c r="AB82" i="1" a="1"/>
  <c r="AB82" i="1" s="1"/>
  <c r="AB6" i="1" s="1"/>
  <c r="W86" i="1" a="1"/>
  <c r="W86" i="1" s="1"/>
  <c r="W87" i="1" a="1"/>
  <c r="W87" i="1" s="1"/>
  <c r="W11" i="1" s="1"/>
  <c r="X86" i="1" a="1"/>
  <c r="X86" i="1" s="1"/>
  <c r="X10" i="1" s="1"/>
  <c r="X87" i="1" a="1"/>
  <c r="X87" i="1" s="1"/>
  <c r="X11" i="1" s="1"/>
  <c r="V86" i="1" a="1"/>
  <c r="V86" i="1" s="1"/>
  <c r="V10" i="1" s="1"/>
  <c r="V87" i="1" a="1"/>
  <c r="V87" i="1" s="1"/>
  <c r="V11" i="1" s="1"/>
  <c r="W84" i="1" a="1"/>
  <c r="W84" i="1" s="1"/>
  <c r="W8" i="1" s="1"/>
  <c r="W85" i="1" a="1"/>
  <c r="W85" i="1" s="1"/>
  <c r="W9" i="1" s="1"/>
  <c r="X84" i="1" a="1"/>
  <c r="X84" i="1" s="1"/>
  <c r="X8" i="1" s="1"/>
  <c r="X85" i="1" a="1"/>
  <c r="X85" i="1" s="1"/>
  <c r="X9" i="1" s="1"/>
  <c r="V84" i="1" a="1"/>
  <c r="V84" i="1" s="1"/>
  <c r="V8" i="1" s="1"/>
  <c r="V85" i="1" a="1"/>
  <c r="V85" i="1" s="1"/>
  <c r="V9" i="1" s="1"/>
  <c r="W81" i="1" a="1"/>
  <c r="W81" i="1" s="1"/>
  <c r="W5" i="1" s="1"/>
  <c r="W82" i="1" a="1"/>
  <c r="W82" i="1" s="1"/>
  <c r="W6" i="1" s="1"/>
  <c r="X81" i="1" a="1"/>
  <c r="X81" i="1" s="1"/>
  <c r="X5" i="1" s="1"/>
  <c r="X82" i="1" a="1"/>
  <c r="X82" i="1" s="1"/>
  <c r="X6" i="1" s="1"/>
  <c r="V81" i="1" a="1"/>
  <c r="V81" i="1" s="1"/>
  <c r="V5" i="1" s="1"/>
  <c r="V82" i="1" a="1"/>
  <c r="V82" i="1" s="1"/>
  <c r="V6" i="1" s="1"/>
  <c r="P86" i="1" a="1"/>
  <c r="P86" i="1" s="1"/>
  <c r="P10" i="1" s="1"/>
  <c r="P87" i="1" a="1"/>
  <c r="P87" i="1" s="1"/>
  <c r="P11" i="1" s="1"/>
  <c r="Q86" i="1" a="1"/>
  <c r="Q86" i="1" s="1"/>
  <c r="Q10" i="1" s="1"/>
  <c r="Q87" i="1" a="1"/>
  <c r="Q87" i="1" s="1"/>
  <c r="Q11" i="1" s="1"/>
  <c r="R86" i="1" a="1"/>
  <c r="R86" i="1" s="1"/>
  <c r="R10" i="1" s="1"/>
  <c r="R87" i="1" a="1"/>
  <c r="R87" i="1" s="1"/>
  <c r="R11" i="1" s="1"/>
  <c r="Q85" i="1" a="1"/>
  <c r="Q85" i="1" s="1"/>
  <c r="Q9" i="1" s="1"/>
  <c r="Q84" i="1" a="1"/>
  <c r="Q84" i="1" s="1"/>
  <c r="Q8" i="1" s="1"/>
  <c r="P85" i="1" a="1"/>
  <c r="P85" i="1" s="1"/>
  <c r="P9" i="1" s="1"/>
  <c r="P84" i="1" a="1"/>
  <c r="P84" i="1" s="1"/>
  <c r="P8" i="1" s="1"/>
  <c r="R85" i="1" a="1"/>
  <c r="R85" i="1" s="1"/>
  <c r="R9" i="1" s="1"/>
  <c r="R84" i="1" a="1"/>
  <c r="R84" i="1" s="1"/>
  <c r="R8" i="1" s="1"/>
  <c r="Q81" i="1" a="1"/>
  <c r="Q81" i="1" s="1"/>
  <c r="Q82" i="1" a="1"/>
  <c r="Q82" i="1" s="1"/>
  <c r="Q6" i="1" s="1"/>
  <c r="R81" i="1" a="1"/>
  <c r="R81" i="1" s="1"/>
  <c r="R5" i="1" s="1"/>
  <c r="R82" i="1" a="1"/>
  <c r="R82" i="1" s="1"/>
  <c r="R6" i="1" s="1"/>
  <c r="P81" i="1" a="1"/>
  <c r="P81" i="1" s="1"/>
  <c r="P5" i="1" s="1"/>
  <c r="P82" i="1" a="1"/>
  <c r="P82" i="1" s="1"/>
  <c r="P6" i="1" s="1"/>
  <c r="J86" i="1" a="1"/>
  <c r="J86" i="1" s="1"/>
  <c r="J10" i="1" s="1"/>
  <c r="J87" i="1" a="1"/>
  <c r="J87" i="1" s="1"/>
  <c r="J11" i="1" s="1"/>
  <c r="K86" i="1" a="1"/>
  <c r="K86" i="1" s="1"/>
  <c r="K10" i="1" s="1"/>
  <c r="K87" i="1" a="1"/>
  <c r="K87" i="1" s="1"/>
  <c r="K11" i="1" s="1"/>
  <c r="L86" i="1" a="1"/>
  <c r="L86" i="1" s="1"/>
  <c r="L10" i="1" s="1"/>
  <c r="L87" i="1" a="1"/>
  <c r="L87" i="1" s="1"/>
  <c r="L11" i="1" s="1"/>
  <c r="J84" i="1" a="1"/>
  <c r="J84" i="1" s="1"/>
  <c r="J8" i="1" s="1"/>
  <c r="J85" i="1" a="1"/>
  <c r="J85" i="1" s="1"/>
  <c r="J9" i="1" s="1"/>
  <c r="K84" i="1" a="1"/>
  <c r="K84" i="1" s="1"/>
  <c r="K8" i="1" s="1"/>
  <c r="K85" i="1" a="1"/>
  <c r="K85" i="1" s="1"/>
  <c r="K9" i="1" s="1"/>
  <c r="L84" i="1" a="1"/>
  <c r="L84" i="1" s="1"/>
  <c r="L8" i="1" s="1"/>
  <c r="L85" i="1" a="1"/>
  <c r="L85" i="1" s="1"/>
  <c r="L9" i="1" s="1"/>
  <c r="J81" i="1" a="1"/>
  <c r="J81" i="1" s="1"/>
  <c r="J5" i="1" s="1"/>
  <c r="J82" i="1" a="1"/>
  <c r="J82" i="1" s="1"/>
  <c r="J6" i="1" s="1"/>
  <c r="K81" i="1" a="1"/>
  <c r="K81" i="1" s="1"/>
  <c r="K82" i="1" a="1"/>
  <c r="K82" i="1" s="1"/>
  <c r="K6" i="1" s="1"/>
  <c r="L81" i="1" a="1"/>
  <c r="L81" i="1" s="1"/>
  <c r="L5" i="1" s="1"/>
  <c r="L82" i="1" a="1"/>
  <c r="L82" i="1" s="1"/>
  <c r="L6" i="1" s="1"/>
  <c r="AB10" i="1"/>
  <c r="AC11" i="1"/>
  <c r="AC8" i="1"/>
  <c r="W10" i="1"/>
  <c r="Q22" i="2"/>
  <c r="X5" i="2" s="1"/>
  <c r="X7" i="2" s="1"/>
  <c r="P22" i="2"/>
  <c r="W5" i="2" s="1"/>
  <c r="W7" i="2" s="1"/>
  <c r="R22" i="2"/>
  <c r="F82" i="1" a="1"/>
  <c r="F82" i="1" s="1"/>
  <c r="F81" i="1" a="1"/>
  <c r="F81" i="1" s="1"/>
  <c r="F85" i="1" a="1"/>
  <c r="F85" i="1" s="1"/>
  <c r="F86" i="1" a="1"/>
  <c r="F86" i="1" s="1"/>
  <c r="F87" i="1" a="1"/>
  <c r="F87" i="1" s="1"/>
  <c r="F84" i="1" a="1"/>
  <c r="F84" i="1" s="1"/>
  <c r="E82" i="1" a="1"/>
  <c r="E82" i="1" s="1"/>
  <c r="E81" i="1" a="1"/>
  <c r="E81" i="1" s="1"/>
  <c r="E85" i="1" a="1"/>
  <c r="E85" i="1" s="1"/>
  <c r="E86" i="1" a="1"/>
  <c r="E86" i="1" s="1"/>
  <c r="E87" i="1" a="1"/>
  <c r="E87" i="1" s="1"/>
  <c r="E84" i="1" a="1"/>
  <c r="E84" i="1" s="1"/>
  <c r="V5" i="2"/>
  <c r="V7" i="2" s="1"/>
  <c r="D81" i="1" a="1"/>
  <c r="D81" i="1" s="1"/>
  <c r="D82" i="1" a="1"/>
  <c r="D82" i="1" s="1"/>
  <c r="D85" i="1" a="1"/>
  <c r="D85" i="1" s="1"/>
  <c r="D86" i="1" a="1"/>
  <c r="D86" i="1" s="1"/>
  <c r="D87" i="1" a="1"/>
  <c r="D87" i="1" s="1"/>
  <c r="D84" i="1" a="1"/>
  <c r="D84" i="1" s="1"/>
  <c r="AC5" i="1" l="1"/>
  <c r="AC90" i="1"/>
  <c r="AD90" i="1"/>
  <c r="AB90" i="1"/>
  <c r="AB115" i="1" s="1"/>
  <c r="AB14" i="1"/>
  <c r="V90" i="1"/>
  <c r="V115" i="1" s="1"/>
  <c r="X90" i="1"/>
  <c r="X115" i="1" s="1"/>
  <c r="W90" i="1"/>
  <c r="W115" i="1" s="1"/>
  <c r="V14" i="1"/>
  <c r="P90" i="1"/>
  <c r="P115" i="1" s="1"/>
  <c r="R90" i="1"/>
  <c r="R115" i="1" s="1"/>
  <c r="Q5" i="1"/>
  <c r="Q90" i="1"/>
  <c r="Q115" i="1" s="1"/>
  <c r="P14" i="1"/>
  <c r="K5" i="1"/>
  <c r="K90" i="1"/>
  <c r="K115" i="1" s="1"/>
  <c r="J90" i="1"/>
  <c r="J115" i="1" s="1"/>
  <c r="L90" i="1"/>
  <c r="L115" i="1" s="1"/>
  <c r="J14" i="1"/>
  <c r="AD14" i="1" l="1"/>
  <c r="AD115" i="1"/>
  <c r="AD39" i="1" s="1"/>
  <c r="AC14" i="1"/>
  <c r="AC115" i="1"/>
  <c r="AC39" i="1" s="1"/>
  <c r="AB39" i="1"/>
  <c r="W14" i="1"/>
  <c r="V39" i="1"/>
  <c r="X39" i="1"/>
  <c r="X14" i="1"/>
  <c r="P39" i="1"/>
  <c r="R39" i="1"/>
  <c r="R14" i="1"/>
  <c r="K14" i="1"/>
  <c r="Q39" i="1"/>
  <c r="Q14" i="1"/>
  <c r="L14" i="1"/>
  <c r="J39" i="1"/>
  <c r="W39" i="1"/>
  <c r="K39" i="1"/>
  <c r="L39" i="1"/>
  <c r="F6" i="1" l="1"/>
  <c r="F9" i="1"/>
  <c r="F11" i="1"/>
  <c r="F8" i="1"/>
  <c r="F10" i="1"/>
  <c r="E6" i="1"/>
  <c r="E9" i="1"/>
  <c r="E11" i="1"/>
  <c r="E8" i="1"/>
  <c r="E10" i="1"/>
  <c r="D6" i="1"/>
  <c r="D9" i="1"/>
  <c r="D11" i="1"/>
  <c r="D8" i="1"/>
  <c r="D10" i="1"/>
  <c r="D5" i="1" l="1"/>
  <c r="D90" i="1"/>
  <c r="D115" i="1" s="1"/>
  <c r="E5" i="1"/>
  <c r="E90" i="1"/>
  <c r="F90" i="1"/>
  <c r="F5" i="1"/>
  <c r="E115" i="1" l="1"/>
  <c r="E39" i="1" s="1"/>
  <c r="E14" i="1"/>
  <c r="F115" i="1"/>
  <c r="F39" i="1" s="1"/>
  <c r="F14" i="1"/>
  <c r="D14" i="1"/>
  <c r="D3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<sst xmlns="http://schemas.openxmlformats.org/spreadsheetml/2006/main" count="1222" uniqueCount="174">
  <si>
    <t>Energy Solutions</t>
  </si>
  <si>
    <t>Total</t>
  </si>
  <si>
    <t>Compensation</t>
  </si>
  <si>
    <t>Bonus</t>
  </si>
  <si>
    <t>Essentials Bonus</t>
  </si>
  <si>
    <t>Payroll Taxes</t>
  </si>
  <si>
    <t>Benefits</t>
  </si>
  <si>
    <t>Vacation</t>
  </si>
  <si>
    <t>Other</t>
  </si>
  <si>
    <t>Contract Labor</t>
  </si>
  <si>
    <t>LTIP Compensation</t>
  </si>
  <si>
    <t>Total Payroll</t>
  </si>
  <si>
    <t>Professional Fees</t>
  </si>
  <si>
    <t>Occupancy</t>
  </si>
  <si>
    <t>Office Expenses</t>
  </si>
  <si>
    <t>IT Costs</t>
  </si>
  <si>
    <t>Marketing and Presentation</t>
  </si>
  <si>
    <t>Travel and Entertainment</t>
  </si>
  <si>
    <t>Employee events</t>
  </si>
  <si>
    <t>Insurance Non Property</t>
  </si>
  <si>
    <t>Licenses</t>
  </si>
  <si>
    <t>Recruiting and Relocation</t>
  </si>
  <si>
    <t>Seminars and Training</t>
  </si>
  <si>
    <t>Shareholder Relations</t>
  </si>
  <si>
    <t>Trustees and Director Fees</t>
  </si>
  <si>
    <t>Dues and Subscriptions</t>
  </si>
  <si>
    <t>Property Management Fee</t>
  </si>
  <si>
    <t>Maintenance</t>
  </si>
  <si>
    <t>Bank Service Charges</t>
  </si>
  <si>
    <t>Charitable Contributions</t>
  </si>
  <si>
    <t>Disputed Charges</t>
  </si>
  <si>
    <t>Allocated IT &amp; Office Contra</t>
  </si>
  <si>
    <t>Total Non-Payroll</t>
  </si>
  <si>
    <t>Baseline</t>
  </si>
  <si>
    <t>Baseline Payroll</t>
  </si>
  <si>
    <t>Baseline Non-Payroll</t>
  </si>
  <si>
    <t>Incremental</t>
  </si>
  <si>
    <t>2027 Incremental Spend</t>
  </si>
  <si>
    <t>2028 Incremental Spend</t>
  </si>
  <si>
    <t>2029 Incremental Spend</t>
  </si>
  <si>
    <t>Incremental Payroll</t>
  </si>
  <si>
    <t>Incremental Non-Payroll</t>
  </si>
  <si>
    <t>Payroll / Headcount Incremental Spend</t>
  </si>
  <si>
    <t>Job Title</t>
  </si>
  <si>
    <t>Job Level</t>
  </si>
  <si>
    <t>Role / Hire</t>
  </si>
  <si>
    <t>Location (City/Country)</t>
  </si>
  <si>
    <t>Key Job Responsibilities</t>
  </si>
  <si>
    <t>Hire Date</t>
  </si>
  <si>
    <t>Base Salary</t>
  </si>
  <si>
    <t>Bonus %</t>
  </si>
  <si>
    <t>2027 Annualized Spend</t>
  </si>
  <si>
    <t>Notes / Rationale</t>
  </si>
  <si>
    <t>Spend Type</t>
  </si>
  <si>
    <t>Payroll / Headcount</t>
  </si>
  <si>
    <t>Non-Payroll</t>
  </si>
  <si>
    <t>Total Incremental Spend</t>
  </si>
  <si>
    <t>Total Payroll / Headcount Incremental Spend</t>
  </si>
  <si>
    <t>Essentials Bonus / Contract Labor / Non-Payroll Incremental Spend</t>
  </si>
  <si>
    <t>Expense Description</t>
  </si>
  <si>
    <t>Type of Expense</t>
  </si>
  <si>
    <t>Vendor</t>
  </si>
  <si>
    <t>Total Essentials Bonus / Contract Labor / Non-Payroll Incremental Spend</t>
  </si>
  <si>
    <t>Annualized Spend</t>
  </si>
  <si>
    <t>Questions to Ask - Investment Case</t>
  </si>
  <si>
    <t>#</t>
  </si>
  <si>
    <t>Question</t>
  </si>
  <si>
    <t>Guidance / What to Address</t>
  </si>
  <si>
    <t>What strategic objective or growth opportunity does this investment enable?</t>
  </si>
  <si>
    <t>• What business objective, strategic initiative, or growth opportunity does this investment support?
• How does the investment align with priorities and outcomes in the 2027–2029 business plan?</t>
  </si>
  <si>
    <t>What business milestone should trigger this investment?</t>
  </si>
  <si>
    <t>• Describe why the investment is needed now, or identify the business milestone that would warrant the investment in the future.
• Explain how the timing of the investment aligns with the expected growth of the business.</t>
  </si>
  <si>
    <t>What alternatives were considered?</t>
  </si>
  <si>
    <t>• What alternatives were evaluated before requesting incremental spend, including process improvements, AI/automation, technology solutions, third-party providers, or redeployment of existing resources?
• Why is incremental headcount or G&amp;A the most effective solution?</t>
  </si>
  <si>
    <t>What measurable business outcome will this investment deliver?</t>
  </si>
  <si>
    <t>• What are the expected business outcomes and how will success be measured?
• Tie the request to measurable growth or scale, e.g., revenue, AUM, MW deployed, customers served, operating sites, projects delivered, cost savings, or risk reduction.</t>
  </si>
  <si>
    <t>What is the impact if this investment is not approved?</t>
  </si>
  <si>
    <t>• What is the expected business impact if the investment is deferred or not approved?
• What are the implications for growth, execution of strategic initiatives, customer commitments, operational performance, financial results, or risk management?</t>
  </si>
  <si>
    <t>CC_CL</t>
  </si>
  <si>
    <t>Account</t>
  </si>
  <si>
    <t>Actual</t>
  </si>
  <si>
    <t>04/2026 - Q126 Earnings FCST</t>
  </si>
  <si>
    <t>Growth Rate</t>
  </si>
  <si>
    <t>Model</t>
  </si>
  <si>
    <t>2025</t>
  </si>
  <si>
    <t>2026</t>
  </si>
  <si>
    <t>2026 vs. 2025</t>
  </si>
  <si>
    <t>2027</t>
  </si>
  <si>
    <t>2028</t>
  </si>
  <si>
    <t>2029</t>
  </si>
  <si>
    <t xml:space="preserve">  Energy</t>
  </si>
  <si>
    <t xml:space="preserve">    COMP - Compensation</t>
  </si>
  <si>
    <t>From Current FCST excluding Merit</t>
  </si>
  <si>
    <t xml:space="preserve">    PAYROLL_TAX - Payroll tax</t>
  </si>
  <si>
    <t xml:space="preserve">    BEN - Benefits</t>
  </si>
  <si>
    <t xml:space="preserve">    BON - Bonus</t>
  </si>
  <si>
    <t xml:space="preserve">    VAC - Vacation</t>
  </si>
  <si>
    <t xml:space="preserve">    OTHER - Other</t>
  </si>
  <si>
    <t xml:space="preserve">   LTIP_COMP - LTIP Compensation</t>
  </si>
  <si>
    <t xml:space="preserve">   PAYROLL_TAX - Payroll tax</t>
  </si>
  <si>
    <t xml:space="preserve">   BEN - Benefits</t>
  </si>
  <si>
    <t xml:space="preserve">   BON - Bonus</t>
  </si>
  <si>
    <t xml:space="preserve">   VAC - Vacation</t>
  </si>
  <si>
    <t xml:space="preserve">   OTHER - Other</t>
  </si>
  <si>
    <t xml:space="preserve">  Energy Finance</t>
  </si>
  <si>
    <t xml:space="preserve">  Mobility</t>
  </si>
  <si>
    <t xml:space="preserve">  ES Leadership</t>
  </si>
  <si>
    <t>Growth Rate Override</t>
  </si>
  <si>
    <t xml:space="preserve">   GA_PROFESSIONAL_FEES - Professional Fees</t>
  </si>
  <si>
    <t xml:space="preserve">   OCCUP - Occupancy</t>
  </si>
  <si>
    <t xml:space="preserve">   OFFICE_EXP - Office Expenses</t>
  </si>
  <si>
    <t xml:space="preserve">   IT_COSTS - IT Costs</t>
  </si>
  <si>
    <t xml:space="preserve">   MKTG_PRES - Marketing and Presentation</t>
  </si>
  <si>
    <t xml:space="preserve">   T&amp;E - Travel And Entertainment</t>
  </si>
  <si>
    <t xml:space="preserve">   EMPLOYEE_EVENTS - Employee events</t>
  </si>
  <si>
    <t xml:space="preserve">   INS_NON_PRTY - Insurance Non Property</t>
  </si>
  <si>
    <t xml:space="preserve">   LIC - Licenses</t>
  </si>
  <si>
    <t xml:space="preserve">   RECRUITING_RELOCATION - Recruiting And Relocation</t>
  </si>
  <si>
    <t xml:space="preserve">   SEM_TRG - Seminars And Training</t>
  </si>
  <si>
    <t xml:space="preserve">   SHARE_REL - Shareholder Relations</t>
  </si>
  <si>
    <t xml:space="preserve">   TRUSTEE_DIR_FEES - Trustees And Director Fees</t>
  </si>
  <si>
    <t xml:space="preserve">   DUES_SUBSCRIPTIONS - Dues And Subscriptions</t>
  </si>
  <si>
    <t xml:space="preserve">   PROP_MGMT_FEE - Property management fee</t>
  </si>
  <si>
    <t xml:space="preserve">   MAINT - Maintenance</t>
  </si>
  <si>
    <t xml:space="preserve">   BANK_SVC_CHARGES - Bank service charges</t>
  </si>
  <si>
    <t xml:space="preserve">   OTH - Other</t>
  </si>
  <si>
    <t xml:space="preserve">   CHARITABLE_CONTRIBUTIONS - Charitable Contributions</t>
  </si>
  <si>
    <t xml:space="preserve">   DISPUTED_CHARGES - Disputed Charges</t>
  </si>
  <si>
    <t xml:space="preserve">   ALLOCATED_IT_OFFICE_CONTRA - Allocated IT &amp; Office Contra</t>
  </si>
  <si>
    <t xml:space="preserve">    PYRL_BONUS - Essentials Bonus</t>
  </si>
  <si>
    <t xml:space="preserve">    CONTRACT - Contract Labor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</si>
  <si>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</si>
  <si>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</si>
  <si>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</si>
  <si>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</si>
  <si>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</si>
  <si>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</si>
  <si>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</si>
  <si>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</si>
  <si>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</si>
  <si>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</si>
  <si>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</si>
  <si>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</si>
  <si>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</si>
  <si>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</si>
  <si>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</si>
  <si>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</si>
  <si>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</si>
  <si>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</si>
  <si>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</si>
  <si>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</si>
  <si>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</si>
  <si>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</si>
  <si>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</si>
  <si>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</si>
  <si>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</si>
  <si>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</si>
  <si>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</si>
  <si>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</si>
  <si>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</si>
  <si>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</si>
  <si>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</si>
  <si>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</si>
  <si>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</si>
  <si>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</si>
  <si>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</si>
  <si>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</si>
  <si>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Investment Case Asks - Incremental Spend Input</t>
  </si>
  <si>
    <t>Group</t>
  </si>
  <si>
    <t>Energy</t>
  </si>
  <si>
    <t>Mobility</t>
  </si>
  <si>
    <t>Energy Finance</t>
  </si>
  <si>
    <t>ES Leadership</t>
  </si>
  <si>
    <t>Incremental Spend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</si>
</sst>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* \(#,##0\);_(* &quot;-&quot;_);_(@_)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8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D2330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73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6" fillId="6" borderId="0" xfId="0" applyFont="1" applyFill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4" fontId="6" fillId="6" borderId="0" xfId="1" applyNumberFormat="1" applyFont="1" applyFill="1" applyAlignment="1">
      <alignment vertical="center"/>
    </xf>
    <xf numFmtId="164" fontId="4" fillId="5" borderId="3" xfId="1" applyNumberFormat="1" applyFont="1" applyFill="1" applyBorder="1" applyAlignment="1">
      <alignment vertical="center"/>
    </xf>
    <xf numFmtId="164" fontId="6" fillId="6" borderId="0" xfId="0" applyNumberFormat="1" applyFont="1" applyFill="1" applyAlignment="1">
      <alignment vertical="center"/>
    </xf>
    <xf numFmtId="164" fontId="4" fillId="5" borderId="2" xfId="1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5" borderId="5" xfId="1" applyNumberFormat="1" applyFont="1" applyFill="1" applyBorder="1" applyAlignment="1">
      <alignment vertical="center"/>
    </xf>
    <xf numFmtId="9" fontId="6" fillId="6" borderId="0" xfId="0" applyNumberFormat="1" applyFont="1" applyFill="1" applyAlignment="1">
      <alignment vertical="center"/>
    </xf>
    <xf numFmtId="49" fontId="8" fillId="6" borderId="0" xfId="0" quotePrefix="1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49" fontId="7" fillId="4" borderId="4" xfId="0" quotePrefix="1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7" fillId="5" borderId="4" xfId="0" quotePrefix="1" applyNumberFormat="1" applyFont="1" applyFill="1" applyBorder="1" applyAlignment="1">
      <alignment vertical="center"/>
    </xf>
    <xf numFmtId="164" fontId="7" fillId="5" borderId="4" xfId="0" applyNumberFormat="1" applyFont="1" applyFill="1" applyBorder="1" applyAlignment="1">
      <alignment vertical="center"/>
    </xf>
    <xf numFmtId="9" fontId="7" fillId="5" borderId="4" xfId="2" applyFont="1" applyFill="1" applyBorder="1" applyAlignment="1">
      <alignment vertical="center"/>
    </xf>
    <xf numFmtId="9" fontId="8" fillId="6" borderId="0" xfId="2" applyFont="1" applyFill="1" applyAlignment="1">
      <alignment vertical="center"/>
    </xf>
    <xf numFmtId="9" fontId="8" fillId="2" borderId="0" xfId="2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17" fontId="5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horizontal="right" vertical="center"/>
      <protection locked="0"/>
    </xf>
    <xf numFmtId="165" fontId="5" fillId="0" borderId="0" xfId="0" applyNumberFormat="1" applyFont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 vertical="top" wrapText="1"/>
    </xf>
    <xf numFmtId="0" fontId="2" fillId="8" borderId="6" xfId="0" applyFont="1" applyFill="1" applyBorder="1" applyAlignment="1">
      <alignment horizontal="center" vertical="top" wrapText="1"/>
    </xf>
    <xf numFmtId="0" fontId="2" fillId="8" borderId="6" xfId="0" applyFont="1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7" xfId="0" applyFont="1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center" vertical="center" wrapText="1"/>
    </xf>
    <xf numFmtId="0" fontId="10" fillId="0" borderId="0" xfId="0" applyFont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7" fontId="4" fillId="4" borderId="0" xfId="0" applyNumberFormat="1" applyFont="1" applyFill="1" applyAlignment="1">
      <alignment horizontal="center" vertical="center"/>
    </xf>
    <xf numFmtId="0" fontId="5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horizontal="right" vertical="center"/>
      <protection locked="0"/>
    </xf>
    <xf numFmtId="165" fontId="6" fillId="0" borderId="0" xfId="0" applyNumberFormat="1" applyFont="1" applyAlignment="1" applyProtection="1">
      <alignment horizontal="right" vertical="center"/>
      <protection locked="0"/>
    </xf>
    <xf numFmtId="164" fontId="6" fillId="0" borderId="0" xfId="0" applyNumberFormat="1" applyFont="1" applyAlignment="1">
      <alignment horizontal="right" vertical="center"/>
    </xf>
    <xf numFmtId="164" fontId="4" fillId="5" borderId="0" xfId="1" applyNumberFormat="1" applyFont="1" applyFill="1" applyAlignment="1">
      <alignment vertical="center"/>
    </xf>
    <xf numFmtId="164" fontId="6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/>
    <xf numFmtId="0" fontId="4" fillId="5" borderId="4" xfId="0" applyFont="1" applyFill="1" applyBorder="1" applyAlignment="1">
      <alignment vertical="center"/>
    </xf>
    <xf numFmtId="164" fontId="8" fillId="2" borderId="0" xfId="0" applyNumberFormat="1" applyFont="1" applyFill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9" fillId="3" borderId="0" xfId="0" applyFont="1" applyFill="1" applyAlignment="1">
      <alignment horizontal="left" vertical="top" wrapText="1"/>
    </xf>
    <xf numFmtId="0" fontId="0" fillId="0" borderId="0" xfId="0"/>
  </cellXfs>
  <cellStyles count="3">
    <cellStyle name="Comma" xfId="1" builtinId="3"/>
    <cellStyle name="Normal" xfId="0" builtinId="0"/>
    <cellStyle name="Percent" xfId="2" builtinId="5"/>
  </cellStyles>
  <dxfs count="135"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5" formatCode="0.0%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70C0"/>
        <name val="Calibri"/>
      </font>
      <numFmt numFmtId="22" formatCode="mmm\-yy"/>
      <alignment horizontal="general" vertical="center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70C0"/>
        <name val="Calibri"/>
      </font>
      <numFmt numFmtId="22" formatCode="mmm\-yy"/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70C0"/>
        <name val="Calibri"/>
      </font>
      <alignment horizontal="general"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5" formatCode="0.0%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0000"/>
        <name val="Calibri"/>
      </font>
      <numFmt numFmtId="22" formatCode="mmm\-yy"/>
      <alignment horizontal="general"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0000"/>
        <name val="Calibri"/>
      </font>
      <numFmt numFmtId="22" formatCode="mmm\-yy"/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yrollIncrementalSpend" displayName="tblPayrollIncrementalSpend" ref="A4:S20" totalsRowShown="0" headerRowDxfId="134" dataDxfId="133">
  <autoFilter ref="A4:S20" xr:uid="{00000000-0009-0000-0100-000001000000}"/>
  <tableColumns count="19">
    <tableColumn id="1" xr3:uid="{00000000-0010-0000-0000-000001000000}" name="Job Title" dataDxfId="132">
      <calculatedColumnFormula>IFERROR(IF('Investment Case Asks - Monthly'!A5="","",'Investment Case Asks - Monthly'!A5),"")</calculatedColumnFormula>
    </tableColumn>
    <tableColumn id="18" xr3:uid="{BD1A4C30-A062-458A-ABCD-FF52EC922038}" name="Group" dataDxfId="131">
      <calculatedColumnFormula>IFERROR(IF('Investment Case Asks - Monthly'!B5="","",'Investment Case Asks - Monthly'!B5),"")</calculatedColumnFormula>
    </tableColumn>
    <tableColumn id="2" xr3:uid="{00000000-0010-0000-0000-000002000000}" name="Job Level" dataDxfId="130">
      <calculatedColumnFormula>IFERROR(IF('Investment Case Asks - Monthly'!C5="","",'Investment Case Asks - Monthly'!C5),"")</calculatedColumnFormula>
    </tableColumn>
    <tableColumn id="3" xr3:uid="{00000000-0010-0000-0000-000003000000}" name="Role / Hire" dataDxfId="129">
      <calculatedColumnFormula>IFERROR(IF('Investment Case Asks - Monthly'!D5="","",'Investment Case Asks - Monthly'!D5),"")</calculatedColumnFormula>
    </tableColumn>
    <tableColumn id="4" xr3:uid="{00000000-0010-0000-0000-000004000000}" name="Location (City/Country)" dataDxfId="128">
      <calculatedColumnFormula>IFERROR(IF('Investment Case Asks - Monthly'!E5="","",'Investment Case Asks - Monthly'!E5),"")</calculatedColumnFormula>
    </tableColumn>
    <tableColumn id="5" xr3:uid="{00000000-0010-0000-0000-000005000000}" name="Key Job Responsibilities" dataDxfId="127">
      <calculatedColumnFormula>IFERROR(IF('Investment Case Asks - Monthly'!F5="","",'Investment Case Asks - Monthly'!F5),"")</calculatedColumnFormula>
    </tableColumn>
    <tableColumn id="6" xr3:uid="{00000000-0010-0000-0000-000006000000}" name="Hire Date" dataDxfId="126">
      <calculatedColumnFormula>IFERROR(IF('Investment Case Asks - Monthly'!G5="","",'Investment Case Asks - Monthly'!G5),"")</calculatedColumnFormula>
    </tableColumn>
    <tableColumn id="13" xr3:uid="{00000000-0010-0000-0000-00000D000000}" name="Base Salary" dataDxfId="125">
      <calculatedColumnFormula>IFERROR(IF('Investment Case Asks - Monthly'!H5="","",'Investment Case Asks - Monthly'!H5),"")</calculatedColumnFormula>
    </tableColumn>
    <tableColumn id="7" xr3:uid="{00000000-0010-0000-0000-000007000000}" name="Bonus %" dataDxfId="124">
      <calculatedColumnFormula>IFERROR(IF('Investment Case Asks - Monthly'!I5="","",'Investment Case Asks - Monthly'!I5),"")</calculatedColumnFormula>
    </tableColumn>
    <tableColumn id="8" xr3:uid="{00000000-0010-0000-0000-000008000000}" name="Bonus" dataDxfId="123">
      <calculatedColumnFormula>IFERROR(IF('Investment Case Asks - Monthly'!J5="","",'Investment Case Asks - Monthly'!J5),"")</calculatedColumnFormula>
    </tableColumn>
    <tableColumn id="9" xr3:uid="{00000000-0010-0000-0000-000009000000}" name="Payroll Taxes" dataDxfId="122">
      <calculatedColumnFormula>IFERROR(IF('Investment Case Asks - Monthly'!K5="","",'Investment Case Asks - Monthly'!K5),"")</calculatedColumnFormula>
    </tableColumn>
    <tableColumn id="10" xr3:uid="{00000000-0010-0000-0000-00000A000000}" name="Benefits" dataDxfId="121">
      <calculatedColumnFormula>IFERROR(IF('Investment Case Asks - Monthly'!L5="","",'Investment Case Asks - Monthly'!L5),"")</calculatedColumnFormula>
    </tableColumn>
    <tableColumn id="11" xr3:uid="{00000000-0010-0000-0000-00000B000000}" name="Vacation" dataDxfId="120">
      <calculatedColumnFormula>IFERROR(IF('Investment Case Asks - Monthly'!M5="","",'Investment Case Asks - Monthly'!M5),"")</calculatedColumnFormula>
    </tableColumn>
    <tableColumn id="12" xr3:uid="{00000000-0010-0000-0000-00000C000000}" name="Other" dataDxfId="119">
      <calculatedColumnFormula>IFERROR(IF('Investment Case Asks - Monthly'!N5="","",'Investment Case Asks - Monthly'!N5),"")</calculatedColumnFormula>
    </tableColumn>
    <tableColumn id="16" xr3:uid="{00000000-0010-0000-0000-000010000000}" name="2027 Annualized Spend" dataDxfId="118">
      <calculatedColumnFormula>IFERROR(IF('Investment Case Asks - Monthly'!O5="","",'Investment Case Asks - Monthly'!O5),"")</calculatedColumnFormula>
    </tableColumn>
    <tableColumn id="14" xr3:uid="{00000000-0010-0000-0000-00000E000000}" name="2027 Incremental Spend" dataDxfId="117">
      <calculatedColumnFormula>IFERROR(IF('Investment Case Asks - Monthly'!AB5="","",'Investment Case Asks - Monthly'!AB5),"")</calculatedColumnFormula>
    </tableColumn>
    <tableColumn id="17" xr3:uid="{00000000-0010-0000-0000-000011000000}" name="2028 Incremental Spend" dataDxfId="116">
      <calculatedColumnFormula>IFERROR(IF('Investment Case Asks - Monthly'!AO5="","",'Investment Case Asks - Monthly'!AO5),"")</calculatedColumnFormula>
    </tableColumn>
    <tableColumn id="19" xr3:uid="{00000000-0010-0000-0000-000013000000}" name="2029 Incremental Spend" dataDxfId="115">
      <calculatedColumnFormula>IFERROR(IF('Investment Case Asks - Monthly'!BB5="","",'Investment Case Asks - Monthly'!BB5),"")</calculatedColumnFormula>
    </tableColumn>
    <tableColumn id="15" xr3:uid="{00000000-0010-0000-0000-00000F000000}" name="Notes / Rationale" dataDxfId="114">
      <calculatedColumnFormula>IFERROR(IF('Investment Case Asks - Monthly'!BC5="","",'Investment Case Asks - Monthly'!BC5),"")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NonPayrollIncrementalSpend" displayName="tblNonPayrollIncrementalSpend" ref="A27:H42" totalsRowShown="0" headerRowDxfId="113" dataDxfId="112">
  <autoFilter ref="A27:H42" xr:uid="{00000000-0009-0000-0100-000002000000}"/>
  <tableColumns count="8">
    <tableColumn id="1" xr3:uid="{00000000-0010-0000-0100-000001000000}" name="Expense Description" dataDxfId="111">
      <calculatedColumnFormula>IFERROR(IF('Investment Case Asks - Monthly'!A28="","",'Investment Case Asks - Monthly'!A28),"")</calculatedColumnFormula>
    </tableColumn>
    <tableColumn id="8" xr3:uid="{8E3CD925-1BFD-4557-A2B1-B8B05AB1C681}" name="Group" dataDxfId="110">
      <calculatedColumnFormula>IFERROR(IF('Investment Case Asks - Monthly'!B28="","",'Investment Case Asks - Monthly'!B28),"")</calculatedColumnFormula>
    </tableColumn>
    <tableColumn id="2" xr3:uid="{00000000-0010-0000-0100-000002000000}" name="Type of Expense" dataDxfId="109">
      <calculatedColumnFormula>IFERROR(IF('Investment Case Asks - Monthly'!C28="","",'Investment Case Asks - Monthly'!C28),"")</calculatedColumnFormula>
    </tableColumn>
    <tableColumn id="3" xr3:uid="{00000000-0010-0000-0100-000003000000}" name="Vendor" dataDxfId="108">
      <calculatedColumnFormula>IFERROR(IF('Investment Case Asks - Monthly'!D28="","",'Investment Case Asks - Monthly'!D28),"")</calculatedColumnFormula>
    </tableColumn>
    <tableColumn id="4" xr3:uid="{00000000-0010-0000-0100-000004000000}" name="2027 Incremental Spend" dataDxfId="107">
      <calculatedColumnFormula>IFERROR(IF('Investment Case Asks - Monthly'!R28="","",'Investment Case Asks - Monthly'!R28),"")</calculatedColumnFormula>
    </tableColumn>
    <tableColumn id="5" xr3:uid="{00000000-0010-0000-0100-000005000000}" name="2028 Incremental Spend" dataDxfId="106">
      <calculatedColumnFormula>IFERROR(IF('Investment Case Asks - Monthly'!AE28="","",'Investment Case Asks - Monthly'!AE28),"")</calculatedColumnFormula>
    </tableColumn>
    <tableColumn id="6" xr3:uid="{00000000-0010-0000-0100-000006000000}" name="2029 Incremental Spend" dataDxfId="105">
      <calculatedColumnFormula>IFERROR(IF('Investment Case Asks - Monthly'!AR28="","",'Investment Case Asks - Monthly'!AR28),"")</calculatedColumnFormula>
    </tableColumn>
    <tableColumn id="7" xr3:uid="{00000000-0010-0000-0100-000007000000}" name="Notes / Rationale" dataDxfId="104">
      <calculatedColumnFormula>IFERROR(IF('Investment Case Asks - Monthly'!AS28="","",'Investment Case Asks - Monthly'!AS28),"")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yrollIncrementalSpend2" displayName="tblPayrollIncrementalSpend2" ref="A4:BC20" totalsRowShown="0" headerRowDxfId="103" dataDxfId="102">
  <autoFilter ref="A4:BC20" xr:uid="{00000000-0009-0000-0100-000003000000}"/>
  <tableColumns count="55">
    <tableColumn id="1" xr3:uid="{00000000-0010-0000-0200-000001000000}" name="Job Title" dataDxfId="101"/>
    <tableColumn id="55" xr3:uid="{8883BFD3-2796-4EE1-8DED-BA85F9E894CE}" name="Group" dataDxfId="100"/>
    <tableColumn id="2" xr3:uid="{00000000-0010-0000-0200-000002000000}" name="Job Level" dataDxfId="99"/>
    <tableColumn id="3" xr3:uid="{00000000-0010-0000-0200-000003000000}" name="Role / Hire" dataDxfId="98"/>
    <tableColumn id="4" xr3:uid="{00000000-0010-0000-0200-000004000000}" name="Location (City/Country)" dataDxfId="97"/>
    <tableColumn id="5" xr3:uid="{00000000-0010-0000-0200-000005000000}" name="Key Job Responsibilities" dataDxfId="96"/>
    <tableColumn id="6" xr3:uid="{00000000-0010-0000-0200-000006000000}" name="Hire Date" dataDxfId="95"/>
    <tableColumn id="13" xr3:uid="{00000000-0010-0000-0200-00000D000000}" name="Base Salary" dataDxfId="94"/>
    <tableColumn id="7" xr3:uid="{00000000-0010-0000-0200-000007000000}" name="Bonus %" dataDxfId="93"/>
    <tableColumn id="8" xr3:uid="{00000000-0010-0000-0200-000008000000}" name="Bonus" dataDxfId="92">
      <calculatedColumnFormula>IF(OR(COUNTA(tblPayrollIncrementalSpend2[[#This Row],[Job Title]:[Hire Date]])&gt;0,AND(ROW()=ROW(H5),tblPayrollIncrementalSpend2[[#This Row],[Base Salary]]&lt;&gt;"")),N(tblPayrollIncrementalSpend2[[#This Row],[Base Salary]])*N(tblPayrollIncrementalSpend2[[#This Row],[Bonus %]]),"")</calculatedColumnFormula>
    </tableColumn>
    <tableColumn id="9" xr3:uid="{00000000-0010-0000-0200-000009000000}" name="Payroll Taxes" dataDxfId="91">
      <calculatedColumnFormula>IF(OR(COUNTA(tblPayrollIncrementalSpend2[[#This Row],[Job Title]:[Hire Date]])&gt;0,AND(ROW()=ROW(H5),tblPayrollIncrementalSpend2[[#This Row],[Base Salary]]&lt;&gt;"")),N(tblPayrollIncrementalSpend2[[#This Row],[Base Salary]])*'Base - Payroll'!$E$12,"")</calculatedColumnFormula>
    </tableColumn>
    <tableColumn id="10" xr3:uid="{00000000-0010-0000-0200-00000A000000}" name="Benefits" dataDxfId="90">
      <calculatedColumnFormula>IF(OR(COUNTA(tblPayrollIncrementalSpend2[[#This Row],[Job Title]:[Hire Date]])&gt;0,AND(ROW()=ROW(H5),tblPayrollIncrementalSpend2[[#This Row],[Base Salary]]&lt;&gt;"")),N(tblPayrollIncrementalSpend2[[#This Row],[Base Salary]])*'Base - Payroll'!$E$13,"")</calculatedColumnFormula>
    </tableColumn>
    <tableColumn id="11" xr3:uid="{00000000-0010-0000-0200-00000B000000}" name="Vacation" dataDxfId="89">
      <calculatedColumnFormula>IF(OR(COUNTA(tblPayrollIncrementalSpend2[[#This Row],[Job Title]:[Hire Date]])&gt;0,AND(ROW()=ROW(H5),tblPayrollIncrementalSpend2[[#This Row],[Base Salary]]&lt;&gt;"")),N(tblPayrollIncrementalSpend2[[#This Row],[Base Salary]])*'Base - Payroll'!$E$15,"")</calculatedColumnFormula>
    </tableColumn>
    <tableColumn id="12" xr3:uid="{00000000-0010-0000-0200-00000C000000}" name="Other" dataDxfId="88">
      <calculatedColumnFormula>IF(OR(COUNTA(tblPayrollIncrementalSpend2[[#This Row],[Job Title]:[Hire Date]])&gt;0,AND(ROW()=ROW(H5),tblPayrollIncrementalSpend2[[#This Row],[Base Salary]]&lt;&gt;"")),N(tblPayrollIncrementalSpend2[[#This Row],[Base Salary]])*'Base - Payroll'!$E$16,"")</calculatedColumnFormula>
    </tableColumn>
    <tableColumn id="16" xr3:uid="{00000000-0010-0000-0200-000010000000}" name="Annualized Spend" dataDxfId="87">
      <calculatedColumnFormula>IF(OR(COUNTA(tblPayrollIncrementalSpend2[[#This Row],[Job Title]:[Hire Date]])&gt;0,AND(ROW()=ROW(H5),tblPayrollIncrementalSpend2[[#This Row],[Base Salary]]&lt;&gt;"")),N(tblPayrollIncrementalSpend2[[#This Row],[Base Salary]])+SUM(tblPayrollIncrementalSpend2[[#This Row],[Bonus]:[Other]]),"")</calculatedColumnFormula>
    </tableColumn>
    <tableColumn id="14" xr3:uid="{00000000-0010-0000-0200-00000E000000}" name="Jan-27" dataDxfId="86">
      <calculatedColumnFormula>_xlfn.LET(_xlpm.m,IF(ISNUMBER(P$4),DATE(YEAR(P$4),MONTH(P$4),1),DATEVALUE("1-"&amp;P$4)),IF(OR(COUNTA($A5:$G5)&gt;0,$H5&lt;&gt;""),$O5/12*IF($G5="",1,MAX(0,(EOMONTH(_xlpm.m,0)-MAX($G5,_xlpm.m)+1)/(EOMONTH(_xlpm.m,0)-_xlpm.m+1))),""))</calculatedColumnFormula>
    </tableColumn>
    <tableColumn id="17" xr3:uid="{00000000-0010-0000-0200-000011000000}" name="Feb-27" dataDxfId="85">
      <calculatedColumnFormula>_xlfn.LET(_xlpm.m,IF(ISNUMBER(Q$4),DATE(YEAR(Q$4),MONTH(Q$4),1),DATEVALUE("1-"&amp;Q$4)),IF(OR(COUNTA($A5:$G5)&gt;0,$H5&lt;&gt;""),$O5/12*IF($G5="",1,MAX(0,(EOMONTH(_xlpm.m,0)-MAX($G5,_xlpm.m)+1)/(EOMONTH(_xlpm.m,0)-_xlpm.m+1))),""))</calculatedColumnFormula>
    </tableColumn>
    <tableColumn id="18" xr3:uid="{00000000-0010-0000-0200-000012000000}" name="Mar-27" dataDxfId="84">
      <calculatedColumnFormula>_xlfn.LET(_xlpm.m,IF(ISNUMBER(R$4),DATE(YEAR(R$4),MONTH(R$4),1),DATEVALUE("1-"&amp;R$4)),IF(OR(COUNTA($A5:$G5)&gt;0,$H5&lt;&gt;""),$O5/12*IF($G5="",1,MAX(0,(EOMONTH(_xlpm.m,0)-MAX($G5,_xlpm.m)+1)/(EOMONTH(_xlpm.m,0)-_xlpm.m+1))),""))</calculatedColumnFormula>
    </tableColumn>
    <tableColumn id="19" xr3:uid="{00000000-0010-0000-0200-000013000000}" name="Apr-27" dataDxfId="83">
      <calculatedColumnFormula>_xlfn.LET(_xlpm.m,IF(ISNUMBER(S$4),DATE(YEAR(S$4),MONTH(S$4),1),DATEVALUE("1-"&amp;S$4)),IF(OR(COUNTA($A5:$G5)&gt;0,$H5&lt;&gt;""),$O5/12*IF($G5="",1,MAX(0,(EOMONTH(_xlpm.m,0)-MAX($G5,_xlpm.m)+1)/(EOMONTH(_xlpm.m,0)-_xlpm.m+1))),""))</calculatedColumnFormula>
    </tableColumn>
    <tableColumn id="20" xr3:uid="{00000000-0010-0000-0200-000014000000}" name="May-27" dataDxfId="82">
      <calculatedColumnFormula>_xlfn.LET(_xlpm.m,IF(ISNUMBER(T$4),DATE(YEAR(T$4),MONTH(T$4),1),DATEVALUE("1-"&amp;T$4)),IF(OR(COUNTA($A5:$G5)&gt;0,$H5&lt;&gt;""),$O5/12*IF($G5="",1,MAX(0,(EOMONTH(_xlpm.m,0)-MAX($G5,_xlpm.m)+1)/(EOMONTH(_xlpm.m,0)-_xlpm.m+1))),""))</calculatedColumnFormula>
    </tableColumn>
    <tableColumn id="21" xr3:uid="{00000000-0010-0000-0200-000015000000}" name="Jun-27" dataDxfId="81">
      <calculatedColumnFormula>_xlfn.LET(_xlpm.m,IF(ISNUMBER(U$4),DATE(YEAR(U$4),MONTH(U$4),1),DATEVALUE("1-"&amp;U$4)),IF(OR(COUNTA($A5:$G5)&gt;0,$H5&lt;&gt;""),$O5/12*IF($G5="",1,MAX(0,(EOMONTH(_xlpm.m,0)-MAX($G5,_xlpm.m)+1)/(EOMONTH(_xlpm.m,0)-_xlpm.m+1))),""))</calculatedColumnFormula>
    </tableColumn>
    <tableColumn id="22" xr3:uid="{00000000-0010-0000-0200-000016000000}" name="Jul-27" dataDxfId="80">
      <calculatedColumnFormula>_xlfn.LET(_xlpm.m,IF(ISNUMBER(V$4),DATE(YEAR(V$4),MONTH(V$4),1),DATEVALUE("1-"&amp;V$4)),IF(OR(COUNTA($A5:$G5)&gt;0,$H5&lt;&gt;""),$O5/12*IF($G5="",1,MAX(0,(EOMONTH(_xlpm.m,0)-MAX($G5,_xlpm.m)+1)/(EOMONTH(_xlpm.m,0)-_xlpm.m+1))),""))</calculatedColumnFormula>
    </tableColumn>
    <tableColumn id="23" xr3:uid="{00000000-0010-0000-0200-000017000000}" name="Aug-27" dataDxfId="79">
      <calculatedColumnFormula>_xlfn.LET(_xlpm.m,IF(ISNUMBER(W$4),DATE(YEAR(W$4),MONTH(W$4),1),DATEVALUE("1-"&amp;W$4)),IF(OR(COUNTA($A5:$G5)&gt;0,$H5&lt;&gt;""),$O5/12*IF($G5="",1,MAX(0,(EOMONTH(_xlpm.m,0)-MAX($G5,_xlpm.m)+1)/(EOMONTH(_xlpm.m,0)-_xlpm.m+1))),""))</calculatedColumnFormula>
    </tableColumn>
    <tableColumn id="24" xr3:uid="{00000000-0010-0000-0200-000018000000}" name="Sep-27" dataDxfId="78">
      <calculatedColumnFormula>_xlfn.LET(_xlpm.m,IF(ISNUMBER(X$4),DATE(YEAR(X$4),MONTH(X$4),1),DATEVALUE("1-"&amp;X$4)),IF(OR(COUNTA($A5:$G5)&gt;0,$H5&lt;&gt;""),$O5/12*IF($G5="",1,MAX(0,(EOMONTH(_xlpm.m,0)-MAX($G5,_xlpm.m)+1)/(EOMONTH(_xlpm.m,0)-_xlpm.m+1))),""))</calculatedColumnFormula>
    </tableColumn>
    <tableColumn id="25" xr3:uid="{00000000-0010-0000-0200-000019000000}" name="Oct-27" dataDxfId="77">
      <calculatedColumnFormula>_xlfn.LET(_xlpm.m,IF(ISNUMBER(Y$4),DATE(YEAR(Y$4),MONTH(Y$4),1),DATEVALUE("1-"&amp;Y$4)),IF(OR(COUNTA($A5:$G5)&gt;0,$H5&lt;&gt;""),$O5/12*IF($G5="",1,MAX(0,(EOMONTH(_xlpm.m,0)-MAX($G5,_xlpm.m)+1)/(EOMONTH(_xlpm.m,0)-_xlpm.m+1))),""))</calculatedColumnFormula>
    </tableColumn>
    <tableColumn id="26" xr3:uid="{00000000-0010-0000-0200-00001A000000}" name="Nov-27" dataDxfId="76">
      <calculatedColumnFormula>_xlfn.LET(_xlpm.m,IF(ISNUMBER(Z$4),DATE(YEAR(Z$4),MONTH(Z$4),1),DATEVALUE("1-"&amp;Z$4)),IF(OR(COUNTA($A5:$G5)&gt;0,$H5&lt;&gt;""),$O5/12*IF($G5="",1,MAX(0,(EOMONTH(_xlpm.m,0)-MAX($G5,_xlpm.m)+1)/(EOMONTH(_xlpm.m,0)-_xlpm.m+1))),""))</calculatedColumnFormula>
    </tableColumn>
    <tableColumn id="27" xr3:uid="{00000000-0010-0000-0200-00001B000000}" name="Dec-27" dataDxfId="75">
      <calculatedColumnFormula>_xlfn.LET(_xlpm.m,IF(ISNUMBER(AA$4),DATE(YEAR(AA$4),MONTH(AA$4),1),DATEVALUE("1-"&amp;AA$4)),IF(OR(COUNTA($A5:$G5)&gt;0,$H5&lt;&gt;""),$O5/12*IF($G5="",1,MAX(0,(EOMONTH(_xlpm.m,0)-MAX($G5,_xlpm.m)+1)/(EOMONTH(_xlpm.m,0)-_xlpm.m+1))),""))</calculatedColumnFormula>
    </tableColumn>
    <tableColumn id="28" xr3:uid="{00000000-0010-0000-0200-00001C000000}" name="2027 Incremental Spend" dataDxfId="74">
      <calculatedColumnFormula>IF(OR(COUNTA($A5:$G5)&gt;0,$H5&lt;&gt;""),SUM(P5:AA5),"")</calculatedColumnFormula>
    </tableColumn>
    <tableColumn id="29" xr3:uid="{00000000-0010-0000-0200-00001D000000}" name="Jan-28" dataDxfId="73">
      <calculatedColumnFormula>_xlfn.LET(_xlpm.m,IF(ISNUMBER(AC$4),DATE(YEAR(AC$4),MONTH(AC$4),1),DATEVALUE("1-"&amp;AC$4)),IF(OR(COUNTA($A5:$G5)&gt;0,$H5&lt;&gt;""),$O5/12*IF($G5="",1,MAX(0,(EOMONTH(_xlpm.m,0)-MAX($G5,_xlpm.m)+1)/(EOMONTH(_xlpm.m,0)-_xlpm.m+1))),""))</calculatedColumnFormula>
    </tableColumn>
    <tableColumn id="30" xr3:uid="{00000000-0010-0000-0200-00001E000000}" name="Feb-28" dataDxfId="72">
      <calculatedColumnFormula>_xlfn.LET(_xlpm.m,IF(ISNUMBER(AD$4),DATE(YEAR(AD$4),MONTH(AD$4),1),DATEVALUE("1-"&amp;AD$4)),IF(OR(COUNTA($A5:$G5)&gt;0,$H5&lt;&gt;""),$O5/12*IF($G5="",1,MAX(0,(EOMONTH(_xlpm.m,0)-MAX($G5,_xlpm.m)+1)/(EOMONTH(_xlpm.m,0)-_xlpm.m+1))),""))</calculatedColumnFormula>
    </tableColumn>
    <tableColumn id="31" xr3:uid="{00000000-0010-0000-0200-00001F000000}" name="Mar-28" dataDxfId="71">
      <calculatedColumnFormula>_xlfn.LET(_xlpm.m,IF(ISNUMBER(AE$4),DATE(YEAR(AE$4),MONTH(AE$4),1),DATEVALUE("1-"&amp;AE$4)),IF(OR(COUNTA($A5:$G5)&gt;0,$H5&lt;&gt;""),$O5/12*IF($G5="",1,MAX(0,(EOMONTH(_xlpm.m,0)-MAX($G5,_xlpm.m)+1)/(EOMONTH(_xlpm.m,0)-_xlpm.m+1))),""))</calculatedColumnFormula>
    </tableColumn>
    <tableColumn id="32" xr3:uid="{00000000-0010-0000-0200-000020000000}" name="Apr-28" dataDxfId="70">
      <calculatedColumnFormula>_xlfn.LET(_xlpm.m,IF(ISNUMBER(AF$4),DATE(YEAR(AF$4),MONTH(AF$4),1),DATEVALUE("1-"&amp;AF$4)),IF(OR(COUNTA($A5:$G5)&gt;0,$H5&lt;&gt;""),$O5/12*IF($G5="",1,MAX(0,(EOMONTH(_xlpm.m,0)-MAX($G5,_xlpm.m)+1)/(EOMONTH(_xlpm.m,0)-_xlpm.m+1))),""))</calculatedColumnFormula>
    </tableColumn>
    <tableColumn id="33" xr3:uid="{00000000-0010-0000-0200-000021000000}" name="May-28" dataDxfId="69">
      <calculatedColumnFormula>_xlfn.LET(_xlpm.m,IF(ISNUMBER(AG$4),DATE(YEAR(AG$4),MONTH(AG$4),1),DATEVALUE("1-"&amp;AG$4)),IF(OR(COUNTA($A5:$G5)&gt;0,$H5&lt;&gt;""),$O5/12*IF($G5="",1,MAX(0,(EOMONTH(_xlpm.m,0)-MAX($G5,_xlpm.m)+1)/(EOMONTH(_xlpm.m,0)-_xlpm.m+1))),""))</calculatedColumnFormula>
    </tableColumn>
    <tableColumn id="34" xr3:uid="{00000000-0010-0000-0200-000022000000}" name="Jun-28" dataDxfId="68">
      <calculatedColumnFormula>_xlfn.LET(_xlpm.m,IF(ISNUMBER(AH$4),DATE(YEAR(AH$4),MONTH(AH$4),1),DATEVALUE("1-"&amp;AH$4)),IF(OR(COUNTA($A5:$G5)&gt;0,$H5&lt;&gt;""),$O5/12*IF($G5="",1,MAX(0,(EOMONTH(_xlpm.m,0)-MAX($G5,_xlpm.m)+1)/(EOMONTH(_xlpm.m,0)-_xlpm.m+1))),""))</calculatedColumnFormula>
    </tableColumn>
    <tableColumn id="35" xr3:uid="{00000000-0010-0000-0200-000023000000}" name="Jul-28" dataDxfId="67">
      <calculatedColumnFormula>_xlfn.LET(_xlpm.m,IF(ISNUMBER(AI$4),DATE(YEAR(AI$4),MONTH(AI$4),1),DATEVALUE("1-"&amp;AI$4)),IF(OR(COUNTA($A5:$G5)&gt;0,$H5&lt;&gt;""),$O5/12*IF($G5="",1,MAX(0,(EOMONTH(_xlpm.m,0)-MAX($G5,_xlpm.m)+1)/(EOMONTH(_xlpm.m,0)-_xlpm.m+1))),""))</calculatedColumnFormula>
    </tableColumn>
    <tableColumn id="36" xr3:uid="{00000000-0010-0000-0200-000024000000}" name="Aug-28" dataDxfId="66">
      <calculatedColumnFormula>_xlfn.LET(_xlpm.m,IF(ISNUMBER(AJ$4),DATE(YEAR(AJ$4),MONTH(AJ$4),1),DATEVALUE("1-"&amp;AJ$4)),IF(OR(COUNTA($A5:$G5)&gt;0,$H5&lt;&gt;""),$O5/12*IF($G5="",1,MAX(0,(EOMONTH(_xlpm.m,0)-MAX($G5,_xlpm.m)+1)/(EOMONTH(_xlpm.m,0)-_xlpm.m+1))),""))</calculatedColumnFormula>
    </tableColumn>
    <tableColumn id="37" xr3:uid="{00000000-0010-0000-0200-000025000000}" name="Sep-28" dataDxfId="65">
      <calculatedColumnFormula>_xlfn.LET(_xlpm.m,IF(ISNUMBER(AK$4),DATE(YEAR(AK$4),MONTH(AK$4),1),DATEVALUE("1-"&amp;AK$4)),IF(OR(COUNTA($A5:$G5)&gt;0,$H5&lt;&gt;""),$O5/12*IF($G5="",1,MAX(0,(EOMONTH(_xlpm.m,0)-MAX($G5,_xlpm.m)+1)/(EOMONTH(_xlpm.m,0)-_xlpm.m+1))),""))</calculatedColumnFormula>
    </tableColumn>
    <tableColumn id="38" xr3:uid="{00000000-0010-0000-0200-000026000000}" name="Oct-28" dataDxfId="64">
      <calculatedColumnFormula>_xlfn.LET(_xlpm.m,IF(ISNUMBER(AL$4),DATE(YEAR(AL$4),MONTH(AL$4),1),DATEVALUE("1-"&amp;AL$4)),IF(OR(COUNTA($A5:$G5)&gt;0,$H5&lt;&gt;""),$O5/12*IF($G5="",1,MAX(0,(EOMONTH(_xlpm.m,0)-MAX($G5,_xlpm.m)+1)/(EOMONTH(_xlpm.m,0)-_xlpm.m+1))),""))</calculatedColumnFormula>
    </tableColumn>
    <tableColumn id="39" xr3:uid="{00000000-0010-0000-0200-000027000000}" name="Nov-28" dataDxfId="63">
      <calculatedColumnFormula>_xlfn.LET(_xlpm.m,IF(ISNUMBER(AM$4),DATE(YEAR(AM$4),MONTH(AM$4),1),DATEVALUE("1-"&amp;AM$4)),IF(OR(COUNTA($A5:$G5)&gt;0,$H5&lt;&gt;""),$O5/12*IF($G5="",1,MAX(0,(EOMONTH(_xlpm.m,0)-MAX($G5,_xlpm.m)+1)/(EOMONTH(_xlpm.m,0)-_xlpm.m+1))),""))</calculatedColumnFormula>
    </tableColumn>
    <tableColumn id="40" xr3:uid="{00000000-0010-0000-0200-000028000000}" name="Dec-28" dataDxfId="62">
      <calculatedColumnFormula>_xlfn.LET(_xlpm.m,IF(ISNUMBER(AN$4),DATE(YEAR(AN$4),MONTH(AN$4),1),DATEVALUE("1-"&amp;AN$4)),IF(OR(COUNTA($A5:$G5)&gt;0,$H5&lt;&gt;""),$O5/12*IF($G5="",1,MAX(0,(EOMONTH(_xlpm.m,0)-MAX($G5,_xlpm.m)+1)/(EOMONTH(_xlpm.m,0)-_xlpm.m+1))),""))</calculatedColumnFormula>
    </tableColumn>
    <tableColumn id="41" xr3:uid="{00000000-0010-0000-0200-000029000000}" name="2028 Incremental Spend" dataDxfId="61">
      <calculatedColumnFormula>IF(OR(COUNTA($A5:$G5)&gt;0,$H5&lt;&gt;""),SUM(AC5:AN5),"")</calculatedColumnFormula>
    </tableColumn>
    <tableColumn id="42" xr3:uid="{00000000-0010-0000-0200-00002A000000}" name="Jan-29" dataDxfId="60">
      <calculatedColumnFormula>_xlfn.LET(_xlpm.m,IF(ISNUMBER(AP$4),DATE(YEAR(AP$4),MONTH(AP$4),1),DATEVALUE("1-"&amp;AP$4)),IF(OR(COUNTA($A5:$G5)&gt;0,$H5&lt;&gt;""),$O5/12*IF($G5="",1,MAX(0,(EOMONTH(_xlpm.m,0)-MAX($G5,_xlpm.m)+1)/(EOMONTH(_xlpm.m,0)-_xlpm.m+1))),""))</calculatedColumnFormula>
    </tableColumn>
    <tableColumn id="43" xr3:uid="{00000000-0010-0000-0200-00002B000000}" name="Feb-29" dataDxfId="59">
      <calculatedColumnFormula>_xlfn.LET(_xlpm.m,IF(ISNUMBER(AQ$4),DATE(YEAR(AQ$4),MONTH(AQ$4),1),DATEVALUE("1-"&amp;AQ$4)),IF(OR(COUNTA($A5:$G5)&gt;0,$H5&lt;&gt;""),$O5/12*IF($G5="",1,MAX(0,(EOMONTH(_xlpm.m,0)-MAX($G5,_xlpm.m)+1)/(EOMONTH(_xlpm.m,0)-_xlpm.m+1))),""))</calculatedColumnFormula>
    </tableColumn>
    <tableColumn id="44" xr3:uid="{00000000-0010-0000-0200-00002C000000}" name="Mar-29" dataDxfId="58">
      <calculatedColumnFormula>_xlfn.LET(_xlpm.m,IF(ISNUMBER(AR$4),DATE(YEAR(AR$4),MONTH(AR$4),1),DATEVALUE("1-"&amp;AR$4)),IF(OR(COUNTA($A5:$G5)&gt;0,$H5&lt;&gt;""),$O5/12*IF($G5="",1,MAX(0,(EOMONTH(_xlpm.m,0)-MAX($G5,_xlpm.m)+1)/(EOMONTH(_xlpm.m,0)-_xlpm.m+1))),""))</calculatedColumnFormula>
    </tableColumn>
    <tableColumn id="45" xr3:uid="{00000000-0010-0000-0200-00002D000000}" name="Apr-29" dataDxfId="57">
      <calculatedColumnFormula>_xlfn.LET(_xlpm.m,IF(ISNUMBER(AS$4),DATE(YEAR(AS$4),MONTH(AS$4),1),DATEVALUE("1-"&amp;AS$4)),IF(OR(COUNTA($A5:$G5)&gt;0,$H5&lt;&gt;""),$O5/12*IF($G5="",1,MAX(0,(EOMONTH(_xlpm.m,0)-MAX($G5,_xlpm.m)+1)/(EOMONTH(_xlpm.m,0)-_xlpm.m+1))),""))</calculatedColumnFormula>
    </tableColumn>
    <tableColumn id="46" xr3:uid="{00000000-0010-0000-0200-00002E000000}" name="May-29" dataDxfId="56">
      <calculatedColumnFormula>_xlfn.LET(_xlpm.m,IF(ISNUMBER(AT$4),DATE(YEAR(AT$4),MONTH(AT$4),1),DATEVALUE("1-"&amp;AT$4)),IF(OR(COUNTA($A5:$G5)&gt;0,$H5&lt;&gt;""),$O5/12*IF($G5="",1,MAX(0,(EOMONTH(_xlpm.m,0)-MAX($G5,_xlpm.m)+1)/(EOMONTH(_xlpm.m,0)-_xlpm.m+1))),""))</calculatedColumnFormula>
    </tableColumn>
    <tableColumn id="47" xr3:uid="{00000000-0010-0000-0200-00002F000000}" name="Jun-29" dataDxfId="55">
      <calculatedColumnFormula>_xlfn.LET(_xlpm.m,IF(ISNUMBER(AU$4),DATE(YEAR(AU$4),MONTH(AU$4),1),DATEVALUE("1-"&amp;AU$4)),IF(OR(COUNTA($A5:$G5)&gt;0,$H5&lt;&gt;""),$O5/12*IF($G5="",1,MAX(0,(EOMONTH(_xlpm.m,0)-MAX($G5,_xlpm.m)+1)/(EOMONTH(_xlpm.m,0)-_xlpm.m+1))),""))</calculatedColumnFormula>
    </tableColumn>
    <tableColumn id="48" xr3:uid="{00000000-0010-0000-0200-000030000000}" name="Jul-29" dataDxfId="54">
      <calculatedColumnFormula>_xlfn.LET(_xlpm.m,IF(ISNUMBER(AV$4),DATE(YEAR(AV$4),MONTH(AV$4),1),DATEVALUE("1-"&amp;AV$4)),IF(OR(COUNTA($A5:$G5)&gt;0,$H5&lt;&gt;""),$O5/12*IF($G5="",1,MAX(0,(EOMONTH(_xlpm.m,0)-MAX($G5,_xlpm.m)+1)/(EOMONTH(_xlpm.m,0)-_xlpm.m+1))),""))</calculatedColumnFormula>
    </tableColumn>
    <tableColumn id="49" xr3:uid="{00000000-0010-0000-0200-000031000000}" name="Aug-29" dataDxfId="53">
      <calculatedColumnFormula>_xlfn.LET(_xlpm.m,IF(ISNUMBER(AW$4),DATE(YEAR(AW$4),MONTH(AW$4),1),DATEVALUE("1-"&amp;AW$4)),IF(OR(COUNTA($A5:$G5)&gt;0,$H5&lt;&gt;""),$O5/12*IF($G5="",1,MAX(0,(EOMONTH(_xlpm.m,0)-MAX($G5,_xlpm.m)+1)/(EOMONTH(_xlpm.m,0)-_xlpm.m+1))),""))</calculatedColumnFormula>
    </tableColumn>
    <tableColumn id="50" xr3:uid="{00000000-0010-0000-0200-000032000000}" name="Sep-29" dataDxfId="52">
      <calculatedColumnFormula>_xlfn.LET(_xlpm.m,IF(ISNUMBER(AX$4),DATE(YEAR(AX$4),MONTH(AX$4),1),DATEVALUE("1-"&amp;AX$4)),IF(OR(COUNTA($A5:$G5)&gt;0,$H5&lt;&gt;""),$O5/12*IF($G5="",1,MAX(0,(EOMONTH(_xlpm.m,0)-MAX($G5,_xlpm.m)+1)/(EOMONTH(_xlpm.m,0)-_xlpm.m+1))),""))</calculatedColumnFormula>
    </tableColumn>
    <tableColumn id="51" xr3:uid="{00000000-0010-0000-0200-000033000000}" name="Oct-29" dataDxfId="51">
      <calculatedColumnFormula>_xlfn.LET(_xlpm.m,IF(ISNUMBER(AY$4),DATE(YEAR(AY$4),MONTH(AY$4),1),DATEVALUE("1-"&amp;AY$4)),IF(OR(COUNTA($A5:$G5)&gt;0,$H5&lt;&gt;""),$O5/12*IF($G5="",1,MAX(0,(EOMONTH(_xlpm.m,0)-MAX($G5,_xlpm.m)+1)/(EOMONTH(_xlpm.m,0)-_xlpm.m+1))),""))</calculatedColumnFormula>
    </tableColumn>
    <tableColumn id="52" xr3:uid="{00000000-0010-0000-0200-000034000000}" name="Nov-29" dataDxfId="50">
      <calculatedColumnFormula>_xlfn.LET(_xlpm.m,IF(ISNUMBER(AZ$4),DATE(YEAR(AZ$4),MONTH(AZ$4),1),DATEVALUE("1-"&amp;AZ$4)),IF(OR(COUNTA($A5:$G5)&gt;0,$H5&lt;&gt;""),$O5/12*IF($G5="",1,MAX(0,(EOMONTH(_xlpm.m,0)-MAX($G5,_xlpm.m)+1)/(EOMONTH(_xlpm.m,0)-_xlpm.m+1))),""))</calculatedColumnFormula>
    </tableColumn>
    <tableColumn id="53" xr3:uid="{00000000-0010-0000-0200-000035000000}" name="Dec-29" dataDxfId="49">
      <calculatedColumnFormula>_xlfn.LET(_xlpm.m,IF(ISNUMBER(BA$4),DATE(YEAR(BA$4),MONTH(BA$4),1),DATEVALUE("1-"&amp;BA$4)),IF(OR(COUNTA($A5:$G5)&gt;0,$H5&lt;&gt;""),$O5/12*IF($G5="",1,MAX(0,(EOMONTH(_xlpm.m,0)-MAX($G5,_xlpm.m)+1)/(EOMONTH(_xlpm.m,0)-_xlpm.m+1))),""))</calculatedColumnFormula>
    </tableColumn>
    <tableColumn id="54" xr3:uid="{00000000-0010-0000-0200-000036000000}" name="2029 Incremental Spend" dataDxfId="48">
      <calculatedColumnFormula>IF(OR(COUNTA($A5:$G5)&gt;0,$H5&lt;&gt;""),SUM(AP5:BA5),"")</calculatedColumnFormula>
    </tableColumn>
    <tableColumn id="15" xr3:uid="{00000000-0010-0000-0200-00000F000000}" name="Notes / Rationale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NonPayrollIncrementalSpend3" displayName="tblNonPayrollIncrementalSpend3" ref="A27:AS42" totalsRowShown="0" headerRowDxfId="46" dataDxfId="45">
  <autoFilter ref="A27:AS42" xr:uid="{00000000-0009-0000-0100-000004000000}"/>
  <tableColumns count="45">
    <tableColumn id="1" xr3:uid="{00000000-0010-0000-0300-000001000000}" name="Expense Description" dataDxfId="44"/>
    <tableColumn id="45" xr3:uid="{3AB305F9-3A24-4DB6-8E5B-5728C39EEC1B}" name="Group" dataDxfId="43"/>
    <tableColumn id="2" xr3:uid="{00000000-0010-0000-0300-000002000000}" name="Type of Expense" dataDxfId="42"/>
    <tableColumn id="3" xr3:uid="{00000000-0010-0000-0300-000003000000}" name="Vendor" dataDxfId="41"/>
    <tableColumn id="4" xr3:uid="{00000000-0010-0000-0300-000004000000}" name="Annualized Spend" dataDxfId="40"/>
    <tableColumn id="5" xr3:uid="{00000000-0010-0000-0300-000005000000}" name="Jan-27" dataDxfId="39">
      <calculatedColumnFormula>IF(OR(COUNTA($A28:$D28)&gt;0,$E28&lt;&gt;""),N($E28)/12,"")</calculatedColumnFormula>
    </tableColumn>
    <tableColumn id="6" xr3:uid="{00000000-0010-0000-0300-000006000000}" name="Feb-27" dataDxfId="38">
      <calculatedColumnFormula>IF(OR(COUNTA($A28:$D28)&gt;0,$E28&lt;&gt;""),N($E28)/12,"")</calculatedColumnFormula>
    </tableColumn>
    <tableColumn id="7" xr3:uid="{00000000-0010-0000-0300-000007000000}" name="Mar-27" dataDxfId="37">
      <calculatedColumnFormula>IF(OR(COUNTA($A28:$D28)&gt;0,$E28&lt;&gt;""),N($E28)/12,"")</calculatedColumnFormula>
    </tableColumn>
    <tableColumn id="8" xr3:uid="{00000000-0010-0000-0300-000008000000}" name="Apr-27" dataDxfId="36">
      <calculatedColumnFormula>IF(OR(COUNTA($A28:$D28)&gt;0,$E28&lt;&gt;""),N($E28)/12,"")</calculatedColumnFormula>
    </tableColumn>
    <tableColumn id="9" xr3:uid="{00000000-0010-0000-0300-000009000000}" name="May-27" dataDxfId="35">
      <calculatedColumnFormula>IF(OR(COUNTA($A28:$D28)&gt;0,$E28&lt;&gt;""),N($E28)/12,"")</calculatedColumnFormula>
    </tableColumn>
    <tableColumn id="10" xr3:uid="{00000000-0010-0000-0300-00000A000000}" name="Jun-27" dataDxfId="34">
      <calculatedColumnFormula>IF(OR(COUNTA($A28:$D28)&gt;0,$E28&lt;&gt;""),N($E28)/12,"")</calculatedColumnFormula>
    </tableColumn>
    <tableColumn id="11" xr3:uid="{00000000-0010-0000-0300-00000B000000}" name="Jul-27" dataDxfId="33">
      <calculatedColumnFormula>IF(OR(COUNTA($A28:$D28)&gt;0,$E28&lt;&gt;""),N($E28)/12,"")</calculatedColumnFormula>
    </tableColumn>
    <tableColumn id="12" xr3:uid="{00000000-0010-0000-0300-00000C000000}" name="Aug-27" dataDxfId="32">
      <calculatedColumnFormula>IF(OR(COUNTA($A28:$D28)&gt;0,$E28&lt;&gt;""),N($E28)/12,"")</calculatedColumnFormula>
    </tableColumn>
    <tableColumn id="13" xr3:uid="{00000000-0010-0000-0300-00000D000000}" name="Sep-27" dataDxfId="31">
      <calculatedColumnFormula>IF(OR(COUNTA($A28:$D28)&gt;0,$E28&lt;&gt;""),N($E28)/12,"")</calculatedColumnFormula>
    </tableColumn>
    <tableColumn id="14" xr3:uid="{00000000-0010-0000-0300-00000E000000}" name="Oct-27" dataDxfId="30">
      <calculatedColumnFormula>IF(OR(COUNTA($A28:$D28)&gt;0,$E28&lt;&gt;""),N($E28)/12,"")</calculatedColumnFormula>
    </tableColumn>
    <tableColumn id="15" xr3:uid="{00000000-0010-0000-0300-00000F000000}" name="Nov-27" dataDxfId="29">
      <calculatedColumnFormula>IF(OR(COUNTA($A28:$D28)&gt;0,$E28&lt;&gt;""),N($E28)/12,"")</calculatedColumnFormula>
    </tableColumn>
    <tableColumn id="16" xr3:uid="{00000000-0010-0000-0300-000010000000}" name="Dec-27" dataDxfId="28">
      <calculatedColumnFormula>IF(OR(COUNTA($A28:$D28)&gt;0,$E28&lt;&gt;""),N($E28)/12,"")</calculatedColumnFormula>
    </tableColumn>
    <tableColumn id="17" xr3:uid="{00000000-0010-0000-0300-000011000000}" name="2027 Incremental Spend" dataDxfId="27">
      <calculatedColumnFormula>IF(OR(COUNTA($A28:$D28)&gt;0,$E28&lt;&gt;""),SUM(F28:Q28),"")</calculatedColumnFormula>
    </tableColumn>
    <tableColumn id="18" xr3:uid="{00000000-0010-0000-0300-000012000000}" name="Jan-28" dataDxfId="26">
      <calculatedColumnFormula>IF(OR(COUNTA($A28:$D28)&gt;0,$E28&lt;&gt;""),N($E28)/12,"")</calculatedColumnFormula>
    </tableColumn>
    <tableColumn id="19" xr3:uid="{00000000-0010-0000-0300-000013000000}" name="Feb-28" dataDxfId="25">
      <calculatedColumnFormula>IF(OR(COUNTA($A28:$D28)&gt;0,$E28&lt;&gt;""),N($E28)/12,"")</calculatedColumnFormula>
    </tableColumn>
    <tableColumn id="20" xr3:uid="{00000000-0010-0000-0300-000014000000}" name="Mar-28" dataDxfId="24">
      <calculatedColumnFormula>IF(OR(COUNTA($A28:$D28)&gt;0,$E28&lt;&gt;""),N($E28)/12,"")</calculatedColumnFormula>
    </tableColumn>
    <tableColumn id="21" xr3:uid="{00000000-0010-0000-0300-000015000000}" name="Apr-28" dataDxfId="23">
      <calculatedColumnFormula>IF(OR(COUNTA($A28:$D28)&gt;0,$E28&lt;&gt;""),N($E28)/12,"")</calculatedColumnFormula>
    </tableColumn>
    <tableColumn id="22" xr3:uid="{00000000-0010-0000-0300-000016000000}" name="May-28" dataDxfId="22">
      <calculatedColumnFormula>IF(OR(COUNTA($A28:$D28)&gt;0,$E28&lt;&gt;""),N($E28)/12,"")</calculatedColumnFormula>
    </tableColumn>
    <tableColumn id="23" xr3:uid="{00000000-0010-0000-0300-000017000000}" name="Jun-28" dataDxfId="21">
      <calculatedColumnFormula>IF(OR(COUNTA($A28:$D28)&gt;0,$E28&lt;&gt;""),N($E28)/12,"")</calculatedColumnFormula>
    </tableColumn>
    <tableColumn id="24" xr3:uid="{00000000-0010-0000-0300-000018000000}" name="Jul-28" dataDxfId="20">
      <calculatedColumnFormula>IF(OR(COUNTA($A28:$D28)&gt;0,$E28&lt;&gt;""),N($E28)/12,"")</calculatedColumnFormula>
    </tableColumn>
    <tableColumn id="25" xr3:uid="{00000000-0010-0000-0300-000019000000}" name="Aug-28" dataDxfId="19">
      <calculatedColumnFormula>IF(OR(COUNTA($A28:$D28)&gt;0,$E28&lt;&gt;""),N($E28)/12,"")</calculatedColumnFormula>
    </tableColumn>
    <tableColumn id="26" xr3:uid="{00000000-0010-0000-0300-00001A000000}" name="Sep-28" dataDxfId="18">
      <calculatedColumnFormula>IF(OR(COUNTA($A28:$D28)&gt;0,$E28&lt;&gt;""),N($E28)/12,"")</calculatedColumnFormula>
    </tableColumn>
    <tableColumn id="27" xr3:uid="{00000000-0010-0000-0300-00001B000000}" name="Oct-28" dataDxfId="17">
      <calculatedColumnFormula>IF(OR(COUNTA($A28:$D28)&gt;0,$E28&lt;&gt;""),N($E28)/12,"")</calculatedColumnFormula>
    </tableColumn>
    <tableColumn id="28" xr3:uid="{00000000-0010-0000-0300-00001C000000}" name="Nov-28" dataDxfId="16">
      <calculatedColumnFormula>IF(OR(COUNTA($A28:$D28)&gt;0,$E28&lt;&gt;""),N($E28)/12,"")</calculatedColumnFormula>
    </tableColumn>
    <tableColumn id="29" xr3:uid="{00000000-0010-0000-0300-00001D000000}" name="Dec-28" dataDxfId="15">
      <calculatedColumnFormula>IF(OR(COUNTA($A28:$D28)&gt;0,$E28&lt;&gt;""),N($E28)/12,"")</calculatedColumnFormula>
    </tableColumn>
    <tableColumn id="30" xr3:uid="{00000000-0010-0000-0300-00001E000000}" name="2028 Incremental Spend" dataDxfId="14">
      <calculatedColumnFormula>IF(OR(COUNTA($A28:$D28)&gt;0,$E28&lt;&gt;""),SUM(S28:AD28),"")</calculatedColumnFormula>
    </tableColumn>
    <tableColumn id="31" xr3:uid="{00000000-0010-0000-0300-00001F000000}" name="Jan-29" dataDxfId="13">
      <calculatedColumnFormula>IF(OR(COUNTA($A28:$D28)&gt;0,$E28&lt;&gt;""),N($E28)/12,"")</calculatedColumnFormula>
    </tableColumn>
    <tableColumn id="32" xr3:uid="{00000000-0010-0000-0300-000020000000}" name="Feb-29" dataDxfId="12">
      <calculatedColumnFormula>IF(OR(COUNTA($A28:$D28)&gt;0,$E28&lt;&gt;""),N($E28)/12,"")</calculatedColumnFormula>
    </tableColumn>
    <tableColumn id="33" xr3:uid="{00000000-0010-0000-0300-000021000000}" name="Mar-29" dataDxfId="11">
      <calculatedColumnFormula>IF(OR(COUNTA($A28:$D28)&gt;0,$E28&lt;&gt;""),N($E28)/12,"")</calculatedColumnFormula>
    </tableColumn>
    <tableColumn id="34" xr3:uid="{00000000-0010-0000-0300-000022000000}" name="Apr-29" dataDxfId="10">
      <calculatedColumnFormula>IF(OR(COUNTA($A28:$D28)&gt;0,$E28&lt;&gt;""),N($E28)/12,"")</calculatedColumnFormula>
    </tableColumn>
    <tableColumn id="35" xr3:uid="{00000000-0010-0000-0300-000023000000}" name="May-29" dataDxfId="9">
      <calculatedColumnFormula>IF(OR(COUNTA($A28:$D28)&gt;0,$E28&lt;&gt;""),N($E28)/12,"")</calculatedColumnFormula>
    </tableColumn>
    <tableColumn id="36" xr3:uid="{00000000-0010-0000-0300-000024000000}" name="Jun-29" dataDxfId="8">
      <calculatedColumnFormula>IF(OR(COUNTA($A28:$D28)&gt;0,$E28&lt;&gt;""),N($E28)/12,"")</calculatedColumnFormula>
    </tableColumn>
    <tableColumn id="37" xr3:uid="{00000000-0010-0000-0300-000025000000}" name="Jul-29" dataDxfId="7">
      <calculatedColumnFormula>IF(OR(COUNTA($A28:$D28)&gt;0,$E28&lt;&gt;""),N($E28)/12,"")</calculatedColumnFormula>
    </tableColumn>
    <tableColumn id="38" xr3:uid="{00000000-0010-0000-0300-000026000000}" name="Aug-29" dataDxfId="6">
      <calculatedColumnFormula>IF(OR(COUNTA($A28:$D28)&gt;0,$E28&lt;&gt;""),N($E28)/12,"")</calculatedColumnFormula>
    </tableColumn>
    <tableColumn id="39" xr3:uid="{00000000-0010-0000-0300-000027000000}" name="Sep-29" dataDxfId="5">
      <calculatedColumnFormula>IF(OR(COUNTA($A28:$D28)&gt;0,$E28&lt;&gt;""),N($E28)/12,"")</calculatedColumnFormula>
    </tableColumn>
    <tableColumn id="40" xr3:uid="{00000000-0010-0000-0300-000028000000}" name="Oct-29" dataDxfId="4">
      <calculatedColumnFormula>IF(OR(COUNTA($A28:$D28)&gt;0,$E28&lt;&gt;""),N($E28)/12,"")</calculatedColumnFormula>
    </tableColumn>
    <tableColumn id="41" xr3:uid="{00000000-0010-0000-0300-000029000000}" name="Nov-29" dataDxfId="3">
      <calculatedColumnFormula>IF(OR(COUNTA($A28:$D28)&gt;0,$E28&lt;&gt;""),N($E28)/12,"")</calculatedColumnFormula>
    </tableColumn>
    <tableColumn id="42" xr3:uid="{00000000-0010-0000-0300-00002A000000}" name="Dec-29" dataDxfId="2">
      <calculatedColumnFormula>IF(OR(COUNTA($A28:$D28)&gt;0,$E28&lt;&gt;""),N($E28)/12,"")</calculatedColumnFormula>
    </tableColumn>
    <tableColumn id="43" xr3:uid="{00000000-0010-0000-0300-00002B000000}" name="2029 Incremental Spend" dataDxfId="1">
      <calculatedColumnFormula>IF(OR(COUNTA($A28:$D28)&gt;0,$E28&lt;&gt;""),SUM(AF28:AQ28),"")</calculatedColumnFormula>
    </tableColumn>
    <tableColumn id="44" xr3:uid="{00000000-0010-0000-0300-00002C000000}" name="Notes / Ration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2849C6-0EBC-4540-9ED2-80EFA00E8C69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115"/>
  <sheetViews>
    <sheetView tabSelected="1" zoomScale="60" zoomScaleNormal="60" workbookViewId="0">
      <selection activeCell="G18" sqref="G18"/>
    </sheetView>
  </sheetViews>
  <sheetFormatPr defaultRowHeight="14.5" outlineLevelRow="1" outlineLevelCol="1" x14ac:dyDescent="0.35"/>
  <cols>
    <col min="2" max="2" width="30.81640625" bestFit="1" customWidth="1"/>
    <col min="3" max="3" width="16.1796875" bestFit="1" customWidth="1"/>
    <col min="4" max="6" width="30.08984375" bestFit="1" customWidth="1"/>
    <col min="7" max="7" width="17.26953125" customWidth="1" outlineLevel="1"/>
    <col min="8" max="8" width="30.81640625" bestFit="1" customWidth="1" outlineLevel="1"/>
    <col min="9" max="9" width="16.1796875" bestFit="1" customWidth="1" outlineLevel="1"/>
    <col min="10" max="12" width="30.08984375" bestFit="1" customWidth="1" outlineLevel="1"/>
    <col min="13" max="13" width="8.7265625" outlineLevel="1"/>
    <col min="14" max="14" width="30.81640625" bestFit="1" customWidth="1" outlineLevel="1"/>
    <col min="15" max="15" width="14.7265625" bestFit="1" customWidth="1" outlineLevel="1"/>
    <col min="16" max="18" width="30.08984375" bestFit="1" customWidth="1" outlineLevel="1"/>
    <col min="19" max="19" width="8.7265625" outlineLevel="1"/>
    <col min="20" max="20" width="30.81640625" bestFit="1" customWidth="1" outlineLevel="1"/>
    <col min="21" max="21" width="15.81640625" bestFit="1" customWidth="1" outlineLevel="1"/>
    <col min="22" max="24" width="30.08984375" bestFit="1" customWidth="1" outlineLevel="1"/>
    <col min="25" max="25" width="8.7265625" outlineLevel="1"/>
    <col min="26" max="26" width="30.81640625" bestFit="1" customWidth="1" outlineLevel="1"/>
    <col min="27" max="27" width="14.7265625" bestFit="1" customWidth="1" outlineLevel="1"/>
    <col min="28" max="30" width="30.08984375" bestFit="1" customWidth="1" outlineLevel="1"/>
    <col min="31" max="31" width="8.7265625" outlineLevel="1"/>
  </cols>
  <sheetData>
    <row r="1" spans="2:30" ht="23.5" customHeight="1" x14ac:dyDescent="0.55000000000000004">
      <c r="B1" s="49" t="s">
        <v>0</v>
      </c>
      <c r="H1" s="49" t="s">
        <v>169</v>
      </c>
      <c r="N1" s="49" t="s">
        <v>171</v>
      </c>
      <c r="T1" s="49" t="s">
        <v>170</v>
      </c>
      <c r="Z1" s="49" t="s">
        <v>172</v>
      </c>
    </row>
    <row r="2" spans="2:30" ht="16" customHeight="1" x14ac:dyDescent="0.55000000000000004">
      <c r="B2" s="49"/>
      <c r="H2" s="49"/>
      <c r="N2" s="49"/>
      <c r="T2" s="49"/>
      <c r="Z2" s="49"/>
    </row>
    <row r="3" spans="2:30" ht="15" customHeight="1" x14ac:dyDescent="0.35">
      <c r="B3" s="2" t="s">
        <v>1</v>
      </c>
      <c r="C3" s="2"/>
      <c r="D3" s="2"/>
      <c r="E3" s="2"/>
      <c r="F3" s="2"/>
      <c r="H3" s="2" t="s">
        <v>1</v>
      </c>
      <c r="I3" s="2"/>
      <c r="J3" s="2"/>
      <c r="K3" s="2"/>
      <c r="L3" s="2"/>
      <c r="N3" s="2" t="s">
        <v>1</v>
      </c>
      <c r="O3" s="2"/>
      <c r="P3" s="2"/>
      <c r="Q3" s="2"/>
      <c r="R3" s="2"/>
      <c r="T3" s="2" t="s">
        <v>1</v>
      </c>
      <c r="U3" s="2"/>
      <c r="V3" s="2"/>
      <c r="W3" s="2"/>
      <c r="X3" s="2"/>
      <c r="Z3" s="2" t="s">
        <v>1</v>
      </c>
      <c r="AA3" s="2"/>
      <c r="AB3" s="2"/>
      <c r="AC3" s="2"/>
      <c r="AD3" s="2"/>
    </row>
    <row r="4" spans="2:30" s="6" customFormat="1" x14ac:dyDescent="0.35">
      <c r="B4" s="8"/>
      <c r="C4" s="8">
        <v>2026</v>
      </c>
      <c r="D4" s="8">
        <v>2027</v>
      </c>
      <c r="E4" s="8">
        <v>2028</v>
      </c>
      <c r="F4" s="8">
        <v>2029</v>
      </c>
      <c r="H4" s="8"/>
      <c r="I4" s="8">
        <v>2026</v>
      </c>
      <c r="J4" s="8">
        <v>2027</v>
      </c>
      <c r="K4" s="8">
        <v>2028</v>
      </c>
      <c r="L4" s="8">
        <v>2029</v>
      </c>
      <c r="N4" s="8"/>
      <c r="O4" s="8">
        <v>2026</v>
      </c>
      <c r="P4" s="8">
        <v>2027</v>
      </c>
      <c r="Q4" s="8">
        <v>2028</v>
      </c>
      <c r="R4" s="8">
        <v>2029</v>
      </c>
      <c r="T4" s="8"/>
      <c r="U4" s="8">
        <v>2026</v>
      </c>
      <c r="V4" s="8">
        <v>2027</v>
      </c>
      <c r="W4" s="8">
        <v>2028</v>
      </c>
      <c r="X4" s="8">
        <v>2029</v>
      </c>
      <c r="Z4" s="8"/>
      <c r="AA4" s="8">
        <v>2026</v>
      </c>
      <c r="AB4" s="8">
        <v>2027</v>
      </c>
      <c r="AC4" s="8">
        <v>2028</v>
      </c>
      <c r="AD4" s="8">
        <v>2029</v>
      </c>
    </row>
    <row r="5" spans="2:30" outlineLevel="1" x14ac:dyDescent="0.35">
      <c r="B5" s="7" t="s">
        <v>2</v>
      </c>
      <c r="C5" s="12">
        <f t="shared" ref="C5:F13" si="0">C43+C81</f>
        <v>27021147.254332997</v>
      </c>
      <c r="D5" s="12">
        <f t="shared" si="0"/>
        <v>28096811.817958001</v>
      </c>
      <c r="E5" s="12">
        <f t="shared" si="0"/>
        <v>28096811.817958001</v>
      </c>
      <c r="F5" s="12">
        <f t="shared" si="0"/>
        <v>28096811.817958001</v>
      </c>
      <c r="H5" s="7" t="s">
        <v>2</v>
      </c>
      <c r="I5" s="12">
        <f t="shared" ref="I5:L13" si="1">I43+I81</f>
        <v>17132061.468371</v>
      </c>
      <c r="J5" s="12">
        <f t="shared" si="1"/>
        <v>17864963.001421001</v>
      </c>
      <c r="K5" s="12">
        <f t="shared" si="1"/>
        <v>17864963.001421001</v>
      </c>
      <c r="L5" s="12">
        <f t="shared" si="1"/>
        <v>17864963.001421001</v>
      </c>
      <c r="N5" s="7" t="s">
        <v>2</v>
      </c>
      <c r="O5" s="12">
        <f t="shared" ref="O5:R13" si="2">O43+O81</f>
        <v>2947996.2885719999</v>
      </c>
      <c r="P5" s="12">
        <f t="shared" si="2"/>
        <v>3072936.5000049998</v>
      </c>
      <c r="Q5" s="12">
        <f t="shared" si="2"/>
        <v>3072936.5000049998</v>
      </c>
      <c r="R5" s="12">
        <f t="shared" si="2"/>
        <v>3072936.5000049998</v>
      </c>
      <c r="T5" s="7" t="s">
        <v>2</v>
      </c>
      <c r="U5" s="12">
        <f t="shared" ref="U5:X13" si="3">U43+U81</f>
        <v>5943317.6527899997</v>
      </c>
      <c r="V5" s="12">
        <f t="shared" si="3"/>
        <v>6160231.7409960004</v>
      </c>
      <c r="W5" s="12">
        <f t="shared" si="3"/>
        <v>6160231.7409960004</v>
      </c>
      <c r="X5" s="12">
        <f t="shared" si="3"/>
        <v>6160231.7409960004</v>
      </c>
      <c r="Z5" s="7" t="s">
        <v>2</v>
      </c>
      <c r="AA5" s="12">
        <f t="shared" ref="AA5:AD13" si="4">AA43+AA81</f>
        <v>997771.84459999995</v>
      </c>
      <c r="AB5" s="12">
        <f t="shared" si="4"/>
        <v>998680.57553599996</v>
      </c>
      <c r="AC5" s="12">
        <f t="shared" si="4"/>
        <v>998680.57553599996</v>
      </c>
      <c r="AD5" s="12">
        <f t="shared" si="4"/>
        <v>998680.57553599996</v>
      </c>
    </row>
    <row r="6" spans="2:30" outlineLevel="1" x14ac:dyDescent="0.35">
      <c r="B6" s="7" t="s">
        <v>3</v>
      </c>
      <c r="C6" s="12">
        <f t="shared" si="0"/>
        <v>7777198.6153369993</v>
      </c>
      <c r="D6" s="12">
        <f t="shared" si="0"/>
        <v>8060204.2131120367</v>
      </c>
      <c r="E6" s="12">
        <f t="shared" si="0"/>
        <v>8060204.2131120367</v>
      </c>
      <c r="F6" s="12">
        <f t="shared" si="0"/>
        <v>8060204.2131120367</v>
      </c>
      <c r="H6" s="7" t="s">
        <v>3</v>
      </c>
      <c r="I6" s="12">
        <f t="shared" si="1"/>
        <v>4275135.4790589996</v>
      </c>
      <c r="J6" s="12">
        <f t="shared" si="1"/>
        <v>4458023.7644170318</v>
      </c>
      <c r="K6" s="12">
        <f t="shared" si="1"/>
        <v>4458023.7644170318</v>
      </c>
      <c r="L6" s="12">
        <f t="shared" si="1"/>
        <v>4458023.7644170318</v>
      </c>
      <c r="N6" s="7" t="s">
        <v>3</v>
      </c>
      <c r="O6" s="12">
        <f t="shared" si="2"/>
        <v>843955.68235899997</v>
      </c>
      <c r="P6" s="12">
        <f t="shared" si="2"/>
        <v>879723.70615291444</v>
      </c>
      <c r="Q6" s="12">
        <f t="shared" si="2"/>
        <v>879723.70615291444</v>
      </c>
      <c r="R6" s="12">
        <f t="shared" si="2"/>
        <v>879723.70615291444</v>
      </c>
      <c r="T6" s="7" t="s">
        <v>3</v>
      </c>
      <c r="U6" s="12">
        <f t="shared" si="3"/>
        <v>1740227.3807590001</v>
      </c>
      <c r="V6" s="12">
        <f t="shared" si="3"/>
        <v>1803740.70069593</v>
      </c>
      <c r="W6" s="12">
        <f t="shared" si="3"/>
        <v>1803740.70069593</v>
      </c>
      <c r="X6" s="12">
        <f t="shared" si="3"/>
        <v>1803740.70069593</v>
      </c>
      <c r="Z6" s="7" t="s">
        <v>3</v>
      </c>
      <c r="AA6" s="12">
        <f t="shared" si="4"/>
        <v>917880.07316000003</v>
      </c>
      <c r="AB6" s="12">
        <f t="shared" si="4"/>
        <v>918716.04184616078</v>
      </c>
      <c r="AC6" s="12">
        <f t="shared" si="4"/>
        <v>918716.04184616078</v>
      </c>
      <c r="AD6" s="12">
        <f t="shared" si="4"/>
        <v>918716.04184616078</v>
      </c>
    </row>
    <row r="7" spans="2:30" outlineLevel="1" x14ac:dyDescent="0.35">
      <c r="B7" s="7" t="s">
        <v>4</v>
      </c>
      <c r="C7" s="12">
        <f t="shared" si="0"/>
        <v>1285296.42</v>
      </c>
      <c r="D7" s="12">
        <f t="shared" si="0"/>
        <v>1285296.42</v>
      </c>
      <c r="E7" s="12">
        <f t="shared" si="0"/>
        <v>1285296.42</v>
      </c>
      <c r="F7" s="12">
        <f t="shared" si="0"/>
        <v>1285296.42</v>
      </c>
      <c r="H7" s="7" t="s">
        <v>4</v>
      </c>
      <c r="I7" s="12">
        <f t="shared" si="1"/>
        <v>876620.84</v>
      </c>
      <c r="J7" s="12">
        <f t="shared" si="1"/>
        <v>876620.84</v>
      </c>
      <c r="K7" s="12">
        <f t="shared" si="1"/>
        <v>876620.84</v>
      </c>
      <c r="L7" s="12">
        <f t="shared" si="1"/>
        <v>876620.84</v>
      </c>
      <c r="N7" s="7" t="s">
        <v>4</v>
      </c>
      <c r="O7" s="12">
        <f t="shared" si="2"/>
        <v>0</v>
      </c>
      <c r="P7" s="12">
        <f t="shared" si="2"/>
        <v>0</v>
      </c>
      <c r="Q7" s="12">
        <f t="shared" si="2"/>
        <v>0</v>
      </c>
      <c r="R7" s="12">
        <f t="shared" si="2"/>
        <v>0</v>
      </c>
      <c r="T7" s="7" t="s">
        <v>4</v>
      </c>
      <c r="U7" s="12">
        <f t="shared" si="3"/>
        <v>408675.58</v>
      </c>
      <c r="V7" s="12">
        <f t="shared" si="3"/>
        <v>408675.58</v>
      </c>
      <c r="W7" s="12">
        <f t="shared" si="3"/>
        <v>408675.58</v>
      </c>
      <c r="X7" s="12">
        <f t="shared" si="3"/>
        <v>408675.58</v>
      </c>
      <c r="Z7" s="7" t="s">
        <v>4</v>
      </c>
      <c r="AA7" s="12">
        <f t="shared" si="4"/>
        <v>0</v>
      </c>
      <c r="AB7" s="12">
        <f t="shared" si="4"/>
        <v>0</v>
      </c>
      <c r="AC7" s="12">
        <f t="shared" si="4"/>
        <v>0</v>
      </c>
      <c r="AD7" s="12">
        <f t="shared" si="4"/>
        <v>0</v>
      </c>
    </row>
    <row r="8" spans="2:30" outlineLevel="1" x14ac:dyDescent="0.35">
      <c r="B8" s="7" t="s">
        <v>5</v>
      </c>
      <c r="C8" s="12">
        <f t="shared" si="0"/>
        <v>3096763.0353000001</v>
      </c>
      <c r="D8" s="12">
        <f t="shared" si="0"/>
        <v>3222133.8776988639</v>
      </c>
      <c r="E8" s="12">
        <f t="shared" si="0"/>
        <v>3222133.8776988639</v>
      </c>
      <c r="F8" s="12">
        <f t="shared" si="0"/>
        <v>3222133.8776988639</v>
      </c>
      <c r="H8" s="7" t="s">
        <v>5</v>
      </c>
      <c r="I8" s="12">
        <f t="shared" si="1"/>
        <v>1954237.154718</v>
      </c>
      <c r="J8" s="12">
        <f t="shared" si="1"/>
        <v>2037838.5011922885</v>
      </c>
      <c r="K8" s="12">
        <f t="shared" si="1"/>
        <v>2037838.5011922885</v>
      </c>
      <c r="L8" s="12">
        <f t="shared" si="1"/>
        <v>2037838.5011922885</v>
      </c>
      <c r="N8" s="7" t="s">
        <v>5</v>
      </c>
      <c r="O8" s="12">
        <f t="shared" si="2"/>
        <v>321560.410248</v>
      </c>
      <c r="P8" s="12">
        <f t="shared" si="2"/>
        <v>335188.5907856113</v>
      </c>
      <c r="Q8" s="12">
        <f t="shared" si="2"/>
        <v>335188.5907856113</v>
      </c>
      <c r="R8" s="12">
        <f t="shared" si="2"/>
        <v>335188.5907856113</v>
      </c>
      <c r="T8" s="7" t="s">
        <v>5</v>
      </c>
      <c r="U8" s="12">
        <f t="shared" si="3"/>
        <v>769778.04229000001</v>
      </c>
      <c r="V8" s="12">
        <f t="shared" si="3"/>
        <v>797872.73820213112</v>
      </c>
      <c r="W8" s="12">
        <f t="shared" si="3"/>
        <v>797872.73820213112</v>
      </c>
      <c r="X8" s="12">
        <f t="shared" si="3"/>
        <v>797872.73820213112</v>
      </c>
      <c r="Z8" s="7" t="s">
        <v>5</v>
      </c>
      <c r="AA8" s="12">
        <f t="shared" si="4"/>
        <v>51187.428044</v>
      </c>
      <c r="AB8" s="12">
        <f t="shared" si="4"/>
        <v>51234.047518832449</v>
      </c>
      <c r="AC8" s="12">
        <f t="shared" si="4"/>
        <v>51234.047518832449</v>
      </c>
      <c r="AD8" s="12">
        <f t="shared" si="4"/>
        <v>51234.047518832449</v>
      </c>
    </row>
    <row r="9" spans="2:30" outlineLevel="1" x14ac:dyDescent="0.35">
      <c r="B9" s="7" t="s">
        <v>6</v>
      </c>
      <c r="C9" s="12">
        <f t="shared" si="0"/>
        <v>3960803.4771350003</v>
      </c>
      <c r="D9" s="12">
        <f t="shared" si="0"/>
        <v>4121887.7664723257</v>
      </c>
      <c r="E9" s="12">
        <f t="shared" si="0"/>
        <v>4121887.7664723257</v>
      </c>
      <c r="F9" s="12">
        <f t="shared" si="0"/>
        <v>4121887.7664723257</v>
      </c>
      <c r="H9" s="7" t="s">
        <v>6</v>
      </c>
      <c r="I9" s="12">
        <f t="shared" si="1"/>
        <v>2599950.9853790002</v>
      </c>
      <c r="J9" s="12">
        <f t="shared" si="1"/>
        <v>2711175.665873934</v>
      </c>
      <c r="K9" s="12">
        <f t="shared" si="1"/>
        <v>2711175.665873934</v>
      </c>
      <c r="L9" s="12">
        <f t="shared" si="1"/>
        <v>2711175.665873934</v>
      </c>
      <c r="N9" s="7" t="s">
        <v>6</v>
      </c>
      <c r="O9" s="12">
        <f t="shared" si="2"/>
        <v>426285.43291199999</v>
      </c>
      <c r="P9" s="12">
        <f t="shared" si="2"/>
        <v>444352.00657944253</v>
      </c>
      <c r="Q9" s="12">
        <f t="shared" si="2"/>
        <v>444352.00657944253</v>
      </c>
      <c r="R9" s="12">
        <f t="shared" si="2"/>
        <v>444352.00657944253</v>
      </c>
      <c r="T9" s="7" t="s">
        <v>6</v>
      </c>
      <c r="U9" s="12">
        <f t="shared" si="3"/>
        <v>869486.305391</v>
      </c>
      <c r="V9" s="12">
        <f t="shared" si="3"/>
        <v>901220.06760257483</v>
      </c>
      <c r="W9" s="12">
        <f t="shared" si="3"/>
        <v>901220.06760257483</v>
      </c>
      <c r="X9" s="12">
        <f t="shared" si="3"/>
        <v>901220.06760257483</v>
      </c>
      <c r="Z9" s="7" t="s">
        <v>6</v>
      </c>
      <c r="AA9" s="12">
        <f t="shared" si="4"/>
        <v>65080.753452999998</v>
      </c>
      <c r="AB9" s="12">
        <f t="shared" si="4"/>
        <v>65140.026416374349</v>
      </c>
      <c r="AC9" s="12">
        <f t="shared" si="4"/>
        <v>65140.026416374349</v>
      </c>
      <c r="AD9" s="12">
        <f t="shared" si="4"/>
        <v>65140.026416374349</v>
      </c>
    </row>
    <row r="10" spans="2:30" outlineLevel="1" x14ac:dyDescent="0.35">
      <c r="B10" s="7" t="s">
        <v>7</v>
      </c>
      <c r="C10" s="12">
        <f t="shared" si="0"/>
        <v>173675.52426600002</v>
      </c>
      <c r="D10" s="12">
        <f t="shared" si="0"/>
        <v>180708.8108063282</v>
      </c>
      <c r="E10" s="12">
        <f t="shared" si="0"/>
        <v>180708.8108063282</v>
      </c>
      <c r="F10" s="12">
        <f t="shared" si="0"/>
        <v>180708.8108063282</v>
      </c>
      <c r="H10" s="7" t="s">
        <v>7</v>
      </c>
      <c r="I10" s="12">
        <f t="shared" si="1"/>
        <v>97547.456286000001</v>
      </c>
      <c r="J10" s="12">
        <f t="shared" si="1"/>
        <v>101720.49059299954</v>
      </c>
      <c r="K10" s="12">
        <f t="shared" si="1"/>
        <v>101720.49059299954</v>
      </c>
      <c r="L10" s="12">
        <f t="shared" si="1"/>
        <v>101720.49059299954</v>
      </c>
      <c r="N10" s="7" t="s">
        <v>7</v>
      </c>
      <c r="O10" s="12">
        <f t="shared" si="2"/>
        <v>13900.738125</v>
      </c>
      <c r="P10" s="12">
        <f t="shared" si="2"/>
        <v>14489.870874978307</v>
      </c>
      <c r="Q10" s="12">
        <f t="shared" si="2"/>
        <v>14489.870874978307</v>
      </c>
      <c r="R10" s="12">
        <f t="shared" si="2"/>
        <v>14489.870874978307</v>
      </c>
      <c r="T10" s="7" t="s">
        <v>7</v>
      </c>
      <c r="U10" s="12">
        <f t="shared" si="3"/>
        <v>62227.329855000004</v>
      </c>
      <c r="V10" s="12">
        <f t="shared" si="3"/>
        <v>64498.449338350343</v>
      </c>
      <c r="W10" s="12">
        <f t="shared" si="3"/>
        <v>64498.449338350343</v>
      </c>
      <c r="X10" s="12">
        <f t="shared" si="3"/>
        <v>64498.449338350343</v>
      </c>
      <c r="Z10" s="7" t="s">
        <v>7</v>
      </c>
      <c r="AA10" s="12">
        <f t="shared" si="4"/>
        <v>0</v>
      </c>
      <c r="AB10" s="12">
        <f t="shared" si="4"/>
        <v>0</v>
      </c>
      <c r="AC10" s="12">
        <f t="shared" si="4"/>
        <v>0</v>
      </c>
      <c r="AD10" s="12">
        <f t="shared" si="4"/>
        <v>0</v>
      </c>
    </row>
    <row r="11" spans="2:30" outlineLevel="1" x14ac:dyDescent="0.35">
      <c r="B11" s="7" t="s">
        <v>8</v>
      </c>
      <c r="C11" s="12">
        <f t="shared" si="0"/>
        <v>-421719.88604100002</v>
      </c>
      <c r="D11" s="12">
        <f t="shared" si="0"/>
        <v>377.8970021457128</v>
      </c>
      <c r="E11" s="12">
        <f t="shared" si="0"/>
        <v>377.8970021457128</v>
      </c>
      <c r="F11" s="12">
        <f t="shared" si="0"/>
        <v>377.8970021457128</v>
      </c>
      <c r="H11" s="7" t="s">
        <v>8</v>
      </c>
      <c r="I11" s="12">
        <f t="shared" si="1"/>
        <v>362.393959</v>
      </c>
      <c r="J11" s="12">
        <f t="shared" si="1"/>
        <v>377.8970021457128</v>
      </c>
      <c r="K11" s="12">
        <f t="shared" si="1"/>
        <v>377.8970021457128</v>
      </c>
      <c r="L11" s="12">
        <f t="shared" si="1"/>
        <v>377.8970021457128</v>
      </c>
      <c r="N11" s="7" t="s">
        <v>8</v>
      </c>
      <c r="O11" s="12">
        <f t="shared" si="2"/>
        <v>0</v>
      </c>
      <c r="P11" s="12">
        <f t="shared" si="2"/>
        <v>0</v>
      </c>
      <c r="Q11" s="12">
        <f t="shared" si="2"/>
        <v>0</v>
      </c>
      <c r="R11" s="12">
        <f t="shared" si="2"/>
        <v>0</v>
      </c>
      <c r="T11" s="7" t="s">
        <v>8</v>
      </c>
      <c r="U11" s="12">
        <f t="shared" si="3"/>
        <v>-422082.28</v>
      </c>
      <c r="V11" s="12">
        <f t="shared" si="3"/>
        <v>0</v>
      </c>
      <c r="W11" s="12">
        <f t="shared" si="3"/>
        <v>0</v>
      </c>
      <c r="X11" s="12">
        <f t="shared" si="3"/>
        <v>0</v>
      </c>
      <c r="Z11" s="7" t="s">
        <v>8</v>
      </c>
      <c r="AA11" s="12">
        <f t="shared" si="4"/>
        <v>0</v>
      </c>
      <c r="AB11" s="12">
        <f t="shared" si="4"/>
        <v>0</v>
      </c>
      <c r="AC11" s="12">
        <f t="shared" si="4"/>
        <v>0</v>
      </c>
      <c r="AD11" s="12">
        <f t="shared" si="4"/>
        <v>0</v>
      </c>
    </row>
    <row r="12" spans="2:30" outlineLevel="1" x14ac:dyDescent="0.35">
      <c r="B12" s="7" t="s">
        <v>9</v>
      </c>
      <c r="C12" s="12">
        <f t="shared" si="0"/>
        <v>1899752.5799700001</v>
      </c>
      <c r="D12" s="12">
        <f t="shared" si="0"/>
        <v>1899752.5799700001</v>
      </c>
      <c r="E12" s="12">
        <f t="shared" si="0"/>
        <v>1899752.5799700001</v>
      </c>
      <c r="F12" s="12">
        <f t="shared" si="0"/>
        <v>1899752.5799700001</v>
      </c>
      <c r="H12" s="7" t="s">
        <v>9</v>
      </c>
      <c r="I12" s="12">
        <f t="shared" si="1"/>
        <v>1359752.5799700001</v>
      </c>
      <c r="J12" s="12">
        <f t="shared" si="1"/>
        <v>1359752.5799700001</v>
      </c>
      <c r="K12" s="12">
        <f t="shared" si="1"/>
        <v>1359752.5799700001</v>
      </c>
      <c r="L12" s="12">
        <f t="shared" si="1"/>
        <v>1359752.5799700001</v>
      </c>
      <c r="N12" s="7" t="s">
        <v>9</v>
      </c>
      <c r="O12" s="12">
        <f t="shared" si="2"/>
        <v>0</v>
      </c>
      <c r="P12" s="12">
        <f t="shared" si="2"/>
        <v>0</v>
      </c>
      <c r="Q12" s="12">
        <f t="shared" si="2"/>
        <v>0</v>
      </c>
      <c r="R12" s="12">
        <f t="shared" si="2"/>
        <v>0</v>
      </c>
      <c r="T12" s="7" t="s">
        <v>9</v>
      </c>
      <c r="U12" s="12">
        <f t="shared" si="3"/>
        <v>540000</v>
      </c>
      <c r="V12" s="12">
        <f t="shared" si="3"/>
        <v>540000</v>
      </c>
      <c r="W12" s="12">
        <f t="shared" si="3"/>
        <v>540000</v>
      </c>
      <c r="X12" s="12">
        <f t="shared" si="3"/>
        <v>540000</v>
      </c>
      <c r="Z12" s="7" t="s">
        <v>9</v>
      </c>
      <c r="AA12" s="12">
        <f t="shared" si="4"/>
        <v>0</v>
      </c>
      <c r="AB12" s="12">
        <f t="shared" si="4"/>
        <v>0</v>
      </c>
      <c r="AC12" s="12">
        <f t="shared" si="4"/>
        <v>0</v>
      </c>
      <c r="AD12" s="12">
        <f t="shared" si="4"/>
        <v>0</v>
      </c>
    </row>
    <row r="13" spans="2:30" outlineLevel="1" x14ac:dyDescent="0.35">
      <c r="B13" s="7" t="s">
        <v>10</v>
      </c>
      <c r="C13" s="12">
        <f t="shared" si="0"/>
        <v>3602361.0700000003</v>
      </c>
      <c r="D13" s="12">
        <f t="shared" si="0"/>
        <v>3903500.7922608694</v>
      </c>
      <c r="E13" s="12">
        <f t="shared" si="0"/>
        <v>3903500.7922608694</v>
      </c>
      <c r="F13" s="12">
        <f t="shared" si="0"/>
        <v>3903500.7922608694</v>
      </c>
      <c r="H13" s="7" t="s">
        <v>10</v>
      </c>
      <c r="I13" s="12">
        <f t="shared" si="1"/>
        <v>1203507.6000000001</v>
      </c>
      <c r="J13" s="12">
        <f t="shared" si="1"/>
        <v>1373047.5550431586</v>
      </c>
      <c r="K13" s="12">
        <f t="shared" si="1"/>
        <v>1373047.5550431586</v>
      </c>
      <c r="L13" s="12">
        <f t="shared" si="1"/>
        <v>1373047.5550431586</v>
      </c>
      <c r="N13" s="7" t="s">
        <v>10</v>
      </c>
      <c r="O13" s="12">
        <f t="shared" si="2"/>
        <v>339126.66</v>
      </c>
      <c r="P13" s="12">
        <f t="shared" si="2"/>
        <v>456329.39962376736</v>
      </c>
      <c r="Q13" s="12">
        <f t="shared" si="2"/>
        <v>456329.39962376736</v>
      </c>
      <c r="R13" s="12">
        <f t="shared" si="2"/>
        <v>456329.39962376736</v>
      </c>
      <c r="T13" s="7" t="s">
        <v>10</v>
      </c>
      <c r="U13" s="12">
        <f t="shared" si="3"/>
        <v>351851.21</v>
      </c>
      <c r="V13" s="12">
        <f t="shared" si="3"/>
        <v>364692.77238317503</v>
      </c>
      <c r="W13" s="12">
        <f t="shared" si="3"/>
        <v>364692.77238317503</v>
      </c>
      <c r="X13" s="12">
        <f t="shared" si="3"/>
        <v>364692.77238317503</v>
      </c>
      <c r="Z13" s="7" t="s">
        <v>10</v>
      </c>
      <c r="AA13" s="12">
        <f t="shared" si="4"/>
        <v>1707875.6</v>
      </c>
      <c r="AB13" s="12">
        <f t="shared" si="4"/>
        <v>1709431.0652107685</v>
      </c>
      <c r="AC13" s="12">
        <f t="shared" si="4"/>
        <v>1709431.0652107685</v>
      </c>
      <c r="AD13" s="12">
        <f t="shared" si="4"/>
        <v>1709431.0652107685</v>
      </c>
    </row>
    <row r="14" spans="2:30" s="1" customFormat="1" x14ac:dyDescent="0.35">
      <c r="B14" s="9" t="s">
        <v>11</v>
      </c>
      <c r="C14" s="13">
        <f>SUM(C5:C13)</f>
        <v>48395278.090300001</v>
      </c>
      <c r="D14" s="13">
        <f>SUM(D5:D13)</f>
        <v>50770674.175280571</v>
      </c>
      <c r="E14" s="13">
        <f>E52+E90</f>
        <v>50770674.175280571</v>
      </c>
      <c r="F14" s="13">
        <f>F52+F90</f>
        <v>50770674.175280571</v>
      </c>
      <c r="H14" s="9" t="s">
        <v>11</v>
      </c>
      <c r="I14" s="13">
        <f>SUM(I5:I13)</f>
        <v>29499175.957741998</v>
      </c>
      <c r="J14" s="13">
        <f>SUM(J5:J13)</f>
        <v>30783520.295512561</v>
      </c>
      <c r="K14" s="13">
        <f>K52+K90</f>
        <v>30783520.295512561</v>
      </c>
      <c r="L14" s="13">
        <f>L52+L90</f>
        <v>30783520.295512561</v>
      </c>
      <c r="N14" s="9" t="s">
        <v>11</v>
      </c>
      <c r="O14" s="13">
        <f>SUM(O5:O13)</f>
        <v>4892825.212216001</v>
      </c>
      <c r="P14" s="13">
        <f>SUM(P5:P13)</f>
        <v>5203020.0740217147</v>
      </c>
      <c r="Q14" s="13">
        <f>Q52+Q90</f>
        <v>5203020.0740217147</v>
      </c>
      <c r="R14" s="13">
        <f>R52+R90</f>
        <v>5203020.0740217147</v>
      </c>
      <c r="T14" s="9" t="s">
        <v>11</v>
      </c>
      <c r="U14" s="13">
        <f>SUM(U5:U13)</f>
        <v>10263481.221085003</v>
      </c>
      <c r="V14" s="13">
        <f>SUM(V5:V13)</f>
        <v>11040932.049218163</v>
      </c>
      <c r="W14" s="13">
        <f>W52+W90</f>
        <v>11040932.049218163</v>
      </c>
      <c r="X14" s="13">
        <f>X52+X90</f>
        <v>11040932.049218163</v>
      </c>
      <c r="Z14" s="9" t="s">
        <v>11</v>
      </c>
      <c r="AA14" s="13">
        <f>SUM(AA5:AA13)</f>
        <v>3739795.6992570003</v>
      </c>
      <c r="AB14" s="13">
        <f>SUM(AB5:AB13)</f>
        <v>3743201.7565281363</v>
      </c>
      <c r="AC14" s="13">
        <f>AC52+AC90</f>
        <v>3743201.7565281363</v>
      </c>
      <c r="AD14" s="13">
        <f>AD52+AD90</f>
        <v>3743201.7565281363</v>
      </c>
    </row>
    <row r="15" spans="2:30" x14ac:dyDescent="0.35">
      <c r="B15" s="7"/>
      <c r="C15" s="14"/>
      <c r="D15" s="14"/>
      <c r="E15" s="14"/>
      <c r="F15" s="14"/>
      <c r="H15" s="7"/>
      <c r="I15" s="14"/>
      <c r="J15" s="14"/>
      <c r="K15" s="14"/>
      <c r="L15" s="14"/>
      <c r="N15" s="7"/>
      <c r="O15" s="14"/>
      <c r="P15" s="14"/>
      <c r="Q15" s="14"/>
      <c r="R15" s="14"/>
      <c r="T15" s="7"/>
      <c r="U15" s="14"/>
      <c r="V15" s="14"/>
      <c r="W15" s="14"/>
      <c r="X15" s="14"/>
      <c r="Z15" s="7"/>
      <c r="AA15" s="14"/>
      <c r="AB15" s="14"/>
      <c r="AC15" s="14"/>
      <c r="AD15" s="14"/>
    </row>
    <row r="16" spans="2:30" outlineLevel="1" x14ac:dyDescent="0.35">
      <c r="B16" s="7" t="s">
        <v>12</v>
      </c>
      <c r="C16" s="12">
        <f t="shared" ref="C16:F36" si="5">C54+C92</f>
        <v>7181209.4899770003</v>
      </c>
      <c r="D16" s="12">
        <f t="shared" si="5"/>
        <v>7181209.4899770003</v>
      </c>
      <c r="E16" s="12">
        <f t="shared" si="5"/>
        <v>7181209.4899770003</v>
      </c>
      <c r="F16" s="12">
        <f t="shared" si="5"/>
        <v>7181209.4899770003</v>
      </c>
      <c r="H16" s="7" t="s">
        <v>12</v>
      </c>
      <c r="I16" s="12">
        <f t="shared" ref="I16:L36" si="6">I54+I92</f>
        <v>1689705.429977</v>
      </c>
      <c r="J16" s="12">
        <f t="shared" si="6"/>
        <v>1689705.429977</v>
      </c>
      <c r="K16" s="12">
        <f t="shared" si="6"/>
        <v>1689705.429977</v>
      </c>
      <c r="L16" s="12">
        <f t="shared" si="6"/>
        <v>1689705.429977</v>
      </c>
      <c r="N16" s="7" t="s">
        <v>12</v>
      </c>
      <c r="O16" s="12">
        <f t="shared" ref="O16:R36" si="7">O54+O92</f>
        <v>769992</v>
      </c>
      <c r="P16" s="12">
        <f t="shared" si="7"/>
        <v>769992</v>
      </c>
      <c r="Q16" s="12">
        <f t="shared" si="7"/>
        <v>769992</v>
      </c>
      <c r="R16" s="12">
        <f t="shared" si="7"/>
        <v>769992</v>
      </c>
      <c r="T16" s="7" t="s">
        <v>12</v>
      </c>
      <c r="U16" s="12">
        <f t="shared" ref="U16:X36" si="8">U54+U92</f>
        <v>4361510.7300000004</v>
      </c>
      <c r="V16" s="12">
        <f t="shared" si="8"/>
        <v>4361510.7300000004</v>
      </c>
      <c r="W16" s="12">
        <f t="shared" si="8"/>
        <v>4361510.7300000004</v>
      </c>
      <c r="X16" s="12">
        <f t="shared" si="8"/>
        <v>4361510.7300000004</v>
      </c>
      <c r="Z16" s="7" t="s">
        <v>12</v>
      </c>
      <c r="AA16" s="12">
        <f t="shared" ref="AA16:AD36" si="9">AA54+AA92</f>
        <v>360001.33</v>
      </c>
      <c r="AB16" s="12">
        <f t="shared" si="9"/>
        <v>360001.33</v>
      </c>
      <c r="AC16" s="12">
        <f t="shared" si="9"/>
        <v>360001.33</v>
      </c>
      <c r="AD16" s="12">
        <f t="shared" si="9"/>
        <v>360001.33</v>
      </c>
    </row>
    <row r="17" spans="2:30" outlineLevel="1" x14ac:dyDescent="0.35">
      <c r="B17" s="7" t="s">
        <v>13</v>
      </c>
      <c r="C17" s="12">
        <f t="shared" si="5"/>
        <v>100003.169997</v>
      </c>
      <c r="D17" s="12">
        <f t="shared" si="5"/>
        <v>100003.169997</v>
      </c>
      <c r="E17" s="12">
        <f t="shared" si="5"/>
        <v>100003.169997</v>
      </c>
      <c r="F17" s="12">
        <f t="shared" si="5"/>
        <v>100003.169997</v>
      </c>
      <c r="H17" s="7" t="s">
        <v>13</v>
      </c>
      <c r="I17" s="12">
        <f t="shared" si="6"/>
        <v>100001.27999700001</v>
      </c>
      <c r="J17" s="12">
        <f t="shared" si="6"/>
        <v>100001.27999700001</v>
      </c>
      <c r="K17" s="12">
        <f t="shared" si="6"/>
        <v>100001.27999700001</v>
      </c>
      <c r="L17" s="12">
        <f t="shared" si="6"/>
        <v>100001.27999700001</v>
      </c>
      <c r="N17" s="7" t="s">
        <v>13</v>
      </c>
      <c r="O17" s="12">
        <f t="shared" si="7"/>
        <v>0</v>
      </c>
      <c r="P17" s="12">
        <f t="shared" si="7"/>
        <v>0</v>
      </c>
      <c r="Q17" s="12">
        <f t="shared" si="7"/>
        <v>0</v>
      </c>
      <c r="R17" s="12">
        <f t="shared" si="7"/>
        <v>0</v>
      </c>
      <c r="T17" s="7" t="s">
        <v>13</v>
      </c>
      <c r="U17" s="12">
        <f t="shared" si="8"/>
        <v>1.89</v>
      </c>
      <c r="V17" s="12">
        <f t="shared" si="8"/>
        <v>1.89</v>
      </c>
      <c r="W17" s="12">
        <f t="shared" si="8"/>
        <v>1.89</v>
      </c>
      <c r="X17" s="12">
        <f t="shared" si="8"/>
        <v>1.89</v>
      </c>
      <c r="Z17" s="7" t="s">
        <v>13</v>
      </c>
      <c r="AA17" s="12">
        <f t="shared" si="9"/>
        <v>0</v>
      </c>
      <c r="AB17" s="12">
        <f t="shared" si="9"/>
        <v>0</v>
      </c>
      <c r="AC17" s="12">
        <f t="shared" si="9"/>
        <v>0</v>
      </c>
      <c r="AD17" s="12">
        <f t="shared" si="9"/>
        <v>0</v>
      </c>
    </row>
    <row r="18" spans="2:30" outlineLevel="1" x14ac:dyDescent="0.35">
      <c r="B18" s="7" t="s">
        <v>14</v>
      </c>
      <c r="C18" s="12">
        <f t="shared" si="5"/>
        <v>6598.26</v>
      </c>
      <c r="D18" s="12">
        <f t="shared" si="5"/>
        <v>6598.26</v>
      </c>
      <c r="E18" s="12">
        <f t="shared" si="5"/>
        <v>6598.26</v>
      </c>
      <c r="F18" s="12">
        <f t="shared" si="5"/>
        <v>6598.26</v>
      </c>
      <c r="H18" s="7" t="s">
        <v>14</v>
      </c>
      <c r="I18" s="12">
        <f t="shared" si="6"/>
        <v>1596.31</v>
      </c>
      <c r="J18" s="12">
        <f t="shared" si="6"/>
        <v>1596.31</v>
      </c>
      <c r="K18" s="12">
        <f t="shared" si="6"/>
        <v>1596.31</v>
      </c>
      <c r="L18" s="12">
        <f t="shared" si="6"/>
        <v>1596.31</v>
      </c>
      <c r="N18" s="7" t="s">
        <v>14</v>
      </c>
      <c r="O18" s="12">
        <f t="shared" si="7"/>
        <v>-2.04</v>
      </c>
      <c r="P18" s="12">
        <f t="shared" si="7"/>
        <v>-2.04</v>
      </c>
      <c r="Q18" s="12">
        <f t="shared" si="7"/>
        <v>-2.04</v>
      </c>
      <c r="R18" s="12">
        <f t="shared" si="7"/>
        <v>-2.04</v>
      </c>
      <c r="T18" s="7" t="s">
        <v>14</v>
      </c>
      <c r="U18" s="12">
        <f t="shared" si="8"/>
        <v>5007.59</v>
      </c>
      <c r="V18" s="12">
        <f t="shared" si="8"/>
        <v>5007.59</v>
      </c>
      <c r="W18" s="12">
        <f t="shared" si="8"/>
        <v>5007.59</v>
      </c>
      <c r="X18" s="12">
        <f t="shared" si="8"/>
        <v>5007.59</v>
      </c>
      <c r="Z18" s="7" t="s">
        <v>14</v>
      </c>
      <c r="AA18" s="12">
        <f t="shared" si="9"/>
        <v>-3.6</v>
      </c>
      <c r="AB18" s="12">
        <f t="shared" si="9"/>
        <v>-3.6</v>
      </c>
      <c r="AC18" s="12">
        <f t="shared" si="9"/>
        <v>-3.6</v>
      </c>
      <c r="AD18" s="12">
        <f t="shared" si="9"/>
        <v>-3.6</v>
      </c>
    </row>
    <row r="19" spans="2:30" outlineLevel="1" x14ac:dyDescent="0.35">
      <c r="B19" s="7" t="s">
        <v>15</v>
      </c>
      <c r="C19" s="12">
        <f t="shared" si="5"/>
        <v>621855.21</v>
      </c>
      <c r="D19" s="12">
        <f t="shared" si="5"/>
        <v>621855.21</v>
      </c>
      <c r="E19" s="12">
        <f t="shared" si="5"/>
        <v>621855.21</v>
      </c>
      <c r="F19" s="12">
        <f t="shared" si="5"/>
        <v>621855.21</v>
      </c>
      <c r="H19" s="7" t="s">
        <v>15</v>
      </c>
      <c r="I19" s="12">
        <f t="shared" si="6"/>
        <v>575609.31000000006</v>
      </c>
      <c r="J19" s="12">
        <f t="shared" si="6"/>
        <v>575609.31000000006</v>
      </c>
      <c r="K19" s="12">
        <f t="shared" si="6"/>
        <v>575609.31000000006</v>
      </c>
      <c r="L19" s="12">
        <f t="shared" si="6"/>
        <v>575609.31000000006</v>
      </c>
      <c r="N19" s="7" t="s">
        <v>15</v>
      </c>
      <c r="O19" s="12">
        <f t="shared" si="7"/>
        <v>2.95</v>
      </c>
      <c r="P19" s="12">
        <f t="shared" si="7"/>
        <v>2.95</v>
      </c>
      <c r="Q19" s="12">
        <f t="shared" si="7"/>
        <v>2.95</v>
      </c>
      <c r="R19" s="12">
        <f t="shared" si="7"/>
        <v>2.95</v>
      </c>
      <c r="T19" s="7" t="s">
        <v>15</v>
      </c>
      <c r="U19" s="12">
        <f t="shared" si="8"/>
        <v>46239.61</v>
      </c>
      <c r="V19" s="12">
        <f t="shared" si="8"/>
        <v>46239.61</v>
      </c>
      <c r="W19" s="12">
        <f t="shared" si="8"/>
        <v>46239.61</v>
      </c>
      <c r="X19" s="12">
        <f t="shared" si="8"/>
        <v>46239.61</v>
      </c>
      <c r="Z19" s="7" t="s">
        <v>15</v>
      </c>
      <c r="AA19" s="12">
        <f t="shared" si="9"/>
        <v>3.34</v>
      </c>
      <c r="AB19" s="12">
        <f t="shared" si="9"/>
        <v>3.34</v>
      </c>
      <c r="AC19" s="12">
        <f t="shared" si="9"/>
        <v>3.34</v>
      </c>
      <c r="AD19" s="12">
        <f t="shared" si="9"/>
        <v>3.34</v>
      </c>
    </row>
    <row r="20" spans="2:30" outlineLevel="1" x14ac:dyDescent="0.35">
      <c r="B20" s="7" t="s">
        <v>16</v>
      </c>
      <c r="C20" s="12">
        <f t="shared" si="5"/>
        <v>747958</v>
      </c>
      <c r="D20" s="12">
        <f t="shared" si="5"/>
        <v>747958</v>
      </c>
      <c r="E20" s="12">
        <f t="shared" si="5"/>
        <v>747958</v>
      </c>
      <c r="F20" s="12">
        <f t="shared" si="5"/>
        <v>747958</v>
      </c>
      <c r="H20" s="7" t="s">
        <v>16</v>
      </c>
      <c r="I20" s="12">
        <f t="shared" si="6"/>
        <v>0</v>
      </c>
      <c r="J20" s="12">
        <f t="shared" si="6"/>
        <v>0</v>
      </c>
      <c r="K20" s="12">
        <f t="shared" si="6"/>
        <v>0</v>
      </c>
      <c r="L20" s="12">
        <f t="shared" si="6"/>
        <v>0</v>
      </c>
      <c r="N20" s="7" t="s">
        <v>16</v>
      </c>
      <c r="O20" s="12">
        <f t="shared" si="7"/>
        <v>0</v>
      </c>
      <c r="P20" s="12">
        <f t="shared" si="7"/>
        <v>0</v>
      </c>
      <c r="Q20" s="12">
        <f t="shared" si="7"/>
        <v>0</v>
      </c>
      <c r="R20" s="12">
        <f t="shared" si="7"/>
        <v>0</v>
      </c>
      <c r="T20" s="7" t="s">
        <v>16</v>
      </c>
      <c r="U20" s="12">
        <f t="shared" si="8"/>
        <v>747958</v>
      </c>
      <c r="V20" s="12">
        <f t="shared" si="8"/>
        <v>747958</v>
      </c>
      <c r="W20" s="12">
        <f t="shared" si="8"/>
        <v>747958</v>
      </c>
      <c r="X20" s="12">
        <f t="shared" si="8"/>
        <v>747958</v>
      </c>
      <c r="Z20" s="7" t="s">
        <v>16</v>
      </c>
      <c r="AA20" s="12">
        <f t="shared" si="9"/>
        <v>0</v>
      </c>
      <c r="AB20" s="12">
        <f t="shared" si="9"/>
        <v>0</v>
      </c>
      <c r="AC20" s="12">
        <f t="shared" si="9"/>
        <v>0</v>
      </c>
      <c r="AD20" s="12">
        <f t="shared" si="9"/>
        <v>0</v>
      </c>
    </row>
    <row r="21" spans="2:30" outlineLevel="1" x14ac:dyDescent="0.35">
      <c r="B21" s="7" t="s">
        <v>17</v>
      </c>
      <c r="C21" s="12">
        <f t="shared" si="5"/>
        <v>3003935.5200300002</v>
      </c>
      <c r="D21" s="12">
        <f t="shared" si="5"/>
        <v>3003935.5200300002</v>
      </c>
      <c r="E21" s="12">
        <f t="shared" si="5"/>
        <v>3003935.5200300002</v>
      </c>
      <c r="F21" s="12">
        <f t="shared" si="5"/>
        <v>3003935.5200300002</v>
      </c>
      <c r="H21" s="7" t="s">
        <v>17</v>
      </c>
      <c r="I21" s="12">
        <f t="shared" si="6"/>
        <v>1892769.3300300001</v>
      </c>
      <c r="J21" s="12">
        <f t="shared" si="6"/>
        <v>1892769.3300300001</v>
      </c>
      <c r="K21" s="12">
        <f t="shared" si="6"/>
        <v>1892769.3300300001</v>
      </c>
      <c r="L21" s="12">
        <f t="shared" si="6"/>
        <v>1892769.3300300001</v>
      </c>
      <c r="N21" s="7" t="s">
        <v>17</v>
      </c>
      <c r="O21" s="12">
        <f t="shared" si="7"/>
        <v>203998.22</v>
      </c>
      <c r="P21" s="12">
        <f t="shared" si="7"/>
        <v>203998.22</v>
      </c>
      <c r="Q21" s="12">
        <f t="shared" si="7"/>
        <v>203998.22</v>
      </c>
      <c r="R21" s="12">
        <f t="shared" si="7"/>
        <v>203998.22</v>
      </c>
      <c r="T21" s="7" t="s">
        <v>17</v>
      </c>
      <c r="U21" s="12">
        <f t="shared" si="8"/>
        <v>594403.82999999996</v>
      </c>
      <c r="V21" s="12">
        <f t="shared" si="8"/>
        <v>594403.82999999996</v>
      </c>
      <c r="W21" s="12">
        <f t="shared" si="8"/>
        <v>594403.82999999996</v>
      </c>
      <c r="X21" s="12">
        <f t="shared" si="8"/>
        <v>594403.82999999996</v>
      </c>
      <c r="Z21" s="7" t="s">
        <v>17</v>
      </c>
      <c r="AA21" s="12">
        <f t="shared" si="9"/>
        <v>312764.14</v>
      </c>
      <c r="AB21" s="12">
        <f t="shared" si="9"/>
        <v>312764.14</v>
      </c>
      <c r="AC21" s="12">
        <f t="shared" si="9"/>
        <v>312764.14</v>
      </c>
      <c r="AD21" s="12">
        <f t="shared" si="9"/>
        <v>312764.14</v>
      </c>
    </row>
    <row r="22" spans="2:30" outlineLevel="1" x14ac:dyDescent="0.35">
      <c r="B22" s="7" t="s">
        <v>18</v>
      </c>
      <c r="C22" s="12">
        <f t="shared" si="5"/>
        <v>232642.22999399999</v>
      </c>
      <c r="D22" s="12">
        <f t="shared" si="5"/>
        <v>232642.22999399999</v>
      </c>
      <c r="E22" s="12">
        <f t="shared" si="5"/>
        <v>232642.22999399999</v>
      </c>
      <c r="F22" s="12">
        <f t="shared" si="5"/>
        <v>232642.22999399999</v>
      </c>
      <c r="H22" s="7" t="s">
        <v>18</v>
      </c>
      <c r="I22" s="12">
        <f t="shared" si="6"/>
        <v>167102.53999399999</v>
      </c>
      <c r="J22" s="12">
        <f t="shared" si="6"/>
        <v>167102.53999399999</v>
      </c>
      <c r="K22" s="12">
        <f t="shared" si="6"/>
        <v>167102.53999399999</v>
      </c>
      <c r="L22" s="12">
        <f t="shared" si="6"/>
        <v>167102.53999399999</v>
      </c>
      <c r="N22" s="7" t="s">
        <v>18</v>
      </c>
      <c r="O22" s="12">
        <f t="shared" si="7"/>
        <v>23996</v>
      </c>
      <c r="P22" s="12">
        <f t="shared" si="7"/>
        <v>23996</v>
      </c>
      <c r="Q22" s="12">
        <f t="shared" si="7"/>
        <v>23996</v>
      </c>
      <c r="R22" s="12">
        <f t="shared" si="7"/>
        <v>23996</v>
      </c>
      <c r="T22" s="7" t="s">
        <v>18</v>
      </c>
      <c r="U22" s="12">
        <f t="shared" si="8"/>
        <v>11544</v>
      </c>
      <c r="V22" s="12">
        <f t="shared" si="8"/>
        <v>11544</v>
      </c>
      <c r="W22" s="12">
        <f t="shared" si="8"/>
        <v>11544</v>
      </c>
      <c r="X22" s="12">
        <f t="shared" si="8"/>
        <v>11544</v>
      </c>
      <c r="Z22" s="7" t="s">
        <v>18</v>
      </c>
      <c r="AA22" s="12">
        <f t="shared" si="9"/>
        <v>29999.69</v>
      </c>
      <c r="AB22" s="12">
        <f t="shared" si="9"/>
        <v>29999.69</v>
      </c>
      <c r="AC22" s="12">
        <f t="shared" si="9"/>
        <v>29999.69</v>
      </c>
      <c r="AD22" s="12">
        <f t="shared" si="9"/>
        <v>29999.69</v>
      </c>
    </row>
    <row r="23" spans="2:30" outlineLevel="1" x14ac:dyDescent="0.35">
      <c r="B23" s="7" t="s">
        <v>19</v>
      </c>
      <c r="C23" s="12">
        <f t="shared" si="5"/>
        <v>0</v>
      </c>
      <c r="D23" s="12">
        <f t="shared" si="5"/>
        <v>0</v>
      </c>
      <c r="E23" s="12">
        <f t="shared" si="5"/>
        <v>0</v>
      </c>
      <c r="F23" s="12">
        <f t="shared" si="5"/>
        <v>0</v>
      </c>
      <c r="H23" s="7" t="s">
        <v>19</v>
      </c>
      <c r="I23" s="12">
        <f t="shared" si="6"/>
        <v>0</v>
      </c>
      <c r="J23" s="12">
        <f t="shared" si="6"/>
        <v>0</v>
      </c>
      <c r="K23" s="12">
        <f t="shared" si="6"/>
        <v>0</v>
      </c>
      <c r="L23" s="12">
        <f t="shared" si="6"/>
        <v>0</v>
      </c>
      <c r="N23" s="7" t="s">
        <v>19</v>
      </c>
      <c r="O23" s="12">
        <f t="shared" si="7"/>
        <v>0</v>
      </c>
      <c r="P23" s="12">
        <f t="shared" si="7"/>
        <v>0</v>
      </c>
      <c r="Q23" s="12">
        <f t="shared" si="7"/>
        <v>0</v>
      </c>
      <c r="R23" s="12">
        <f t="shared" si="7"/>
        <v>0</v>
      </c>
      <c r="T23" s="7" t="s">
        <v>19</v>
      </c>
      <c r="U23" s="12">
        <f t="shared" si="8"/>
        <v>0</v>
      </c>
      <c r="V23" s="12">
        <f t="shared" si="8"/>
        <v>0</v>
      </c>
      <c r="W23" s="12">
        <f t="shared" si="8"/>
        <v>0</v>
      </c>
      <c r="X23" s="12">
        <f t="shared" si="8"/>
        <v>0</v>
      </c>
      <c r="Z23" s="7" t="s">
        <v>19</v>
      </c>
      <c r="AA23" s="12">
        <f t="shared" si="9"/>
        <v>0</v>
      </c>
      <c r="AB23" s="12">
        <f t="shared" si="9"/>
        <v>0</v>
      </c>
      <c r="AC23" s="12">
        <f t="shared" si="9"/>
        <v>0</v>
      </c>
      <c r="AD23" s="12">
        <f t="shared" si="9"/>
        <v>0</v>
      </c>
    </row>
    <row r="24" spans="2:30" outlineLevel="1" x14ac:dyDescent="0.35">
      <c r="B24" s="7" t="s">
        <v>20</v>
      </c>
      <c r="C24" s="12">
        <f t="shared" si="5"/>
        <v>0</v>
      </c>
      <c r="D24" s="12">
        <f t="shared" si="5"/>
        <v>0</v>
      </c>
      <c r="E24" s="12">
        <f t="shared" si="5"/>
        <v>0</v>
      </c>
      <c r="F24" s="12">
        <f t="shared" si="5"/>
        <v>0</v>
      </c>
      <c r="H24" s="7" t="s">
        <v>20</v>
      </c>
      <c r="I24" s="12">
        <f t="shared" si="6"/>
        <v>0</v>
      </c>
      <c r="J24" s="12">
        <f t="shared" si="6"/>
        <v>0</v>
      </c>
      <c r="K24" s="12">
        <f t="shared" si="6"/>
        <v>0</v>
      </c>
      <c r="L24" s="12">
        <f t="shared" si="6"/>
        <v>0</v>
      </c>
      <c r="N24" s="7" t="s">
        <v>20</v>
      </c>
      <c r="O24" s="12">
        <f t="shared" si="7"/>
        <v>0</v>
      </c>
      <c r="P24" s="12">
        <f t="shared" si="7"/>
        <v>0</v>
      </c>
      <c r="Q24" s="12">
        <f t="shared" si="7"/>
        <v>0</v>
      </c>
      <c r="R24" s="12">
        <f t="shared" si="7"/>
        <v>0</v>
      </c>
      <c r="T24" s="7" t="s">
        <v>20</v>
      </c>
      <c r="U24" s="12">
        <f t="shared" si="8"/>
        <v>0</v>
      </c>
      <c r="V24" s="12">
        <f t="shared" si="8"/>
        <v>0</v>
      </c>
      <c r="W24" s="12">
        <f t="shared" si="8"/>
        <v>0</v>
      </c>
      <c r="X24" s="12">
        <f t="shared" si="8"/>
        <v>0</v>
      </c>
      <c r="Z24" s="7" t="s">
        <v>20</v>
      </c>
      <c r="AA24" s="12">
        <f t="shared" si="9"/>
        <v>0</v>
      </c>
      <c r="AB24" s="12">
        <f t="shared" si="9"/>
        <v>0</v>
      </c>
      <c r="AC24" s="12">
        <f t="shared" si="9"/>
        <v>0</v>
      </c>
      <c r="AD24" s="12">
        <f t="shared" si="9"/>
        <v>0</v>
      </c>
    </row>
    <row r="25" spans="2:30" outlineLevel="1" x14ac:dyDescent="0.35">
      <c r="B25" s="7" t="s">
        <v>21</v>
      </c>
      <c r="C25" s="12">
        <f t="shared" si="5"/>
        <v>83995.69</v>
      </c>
      <c r="D25" s="12">
        <f t="shared" si="5"/>
        <v>83995.69</v>
      </c>
      <c r="E25" s="12">
        <f t="shared" si="5"/>
        <v>83995.69</v>
      </c>
      <c r="F25" s="12">
        <f t="shared" si="5"/>
        <v>83995.69</v>
      </c>
      <c r="H25" s="7" t="s">
        <v>21</v>
      </c>
      <c r="I25" s="12">
        <f t="shared" si="6"/>
        <v>63989.86</v>
      </c>
      <c r="J25" s="12">
        <f t="shared" si="6"/>
        <v>63989.86</v>
      </c>
      <c r="K25" s="12">
        <f t="shared" si="6"/>
        <v>63989.86</v>
      </c>
      <c r="L25" s="12">
        <f t="shared" si="6"/>
        <v>63989.86</v>
      </c>
      <c r="N25" s="7" t="s">
        <v>21</v>
      </c>
      <c r="O25" s="12">
        <f t="shared" si="7"/>
        <v>0</v>
      </c>
      <c r="P25" s="12">
        <f t="shared" si="7"/>
        <v>0</v>
      </c>
      <c r="Q25" s="12">
        <f t="shared" si="7"/>
        <v>0</v>
      </c>
      <c r="R25" s="12">
        <f t="shared" si="7"/>
        <v>0</v>
      </c>
      <c r="T25" s="7" t="s">
        <v>21</v>
      </c>
      <c r="U25" s="12">
        <f t="shared" si="8"/>
        <v>20005.830000000002</v>
      </c>
      <c r="V25" s="12">
        <f t="shared" si="8"/>
        <v>20005.830000000002</v>
      </c>
      <c r="W25" s="12">
        <f t="shared" si="8"/>
        <v>20005.830000000002</v>
      </c>
      <c r="X25" s="12">
        <f t="shared" si="8"/>
        <v>20005.830000000002</v>
      </c>
      <c r="Z25" s="7" t="s">
        <v>21</v>
      </c>
      <c r="AA25" s="12">
        <f t="shared" si="9"/>
        <v>0</v>
      </c>
      <c r="AB25" s="12">
        <f t="shared" si="9"/>
        <v>0</v>
      </c>
      <c r="AC25" s="12">
        <f t="shared" si="9"/>
        <v>0</v>
      </c>
      <c r="AD25" s="12">
        <f t="shared" si="9"/>
        <v>0</v>
      </c>
    </row>
    <row r="26" spans="2:30" s="1" customFormat="1" outlineLevel="1" x14ac:dyDescent="0.35">
      <c r="B26" s="7" t="s">
        <v>22</v>
      </c>
      <c r="C26" s="12">
        <f t="shared" si="5"/>
        <v>251825.74300000002</v>
      </c>
      <c r="D26" s="12">
        <f t="shared" si="5"/>
        <v>251825.74300000002</v>
      </c>
      <c r="E26" s="12">
        <f t="shared" si="5"/>
        <v>251825.74300000002</v>
      </c>
      <c r="F26" s="12">
        <f t="shared" si="5"/>
        <v>251825.74300000002</v>
      </c>
      <c r="H26" s="7" t="s">
        <v>22</v>
      </c>
      <c r="I26" s="12">
        <f t="shared" si="6"/>
        <v>164413.163</v>
      </c>
      <c r="J26" s="12">
        <f t="shared" si="6"/>
        <v>164413.163</v>
      </c>
      <c r="K26" s="12">
        <f t="shared" si="6"/>
        <v>164413.163</v>
      </c>
      <c r="L26" s="12">
        <f t="shared" si="6"/>
        <v>164413.163</v>
      </c>
      <c r="N26" s="7" t="s">
        <v>22</v>
      </c>
      <c r="O26" s="12">
        <f t="shared" si="7"/>
        <v>48003.38</v>
      </c>
      <c r="P26" s="12">
        <f t="shared" si="7"/>
        <v>48003.38</v>
      </c>
      <c r="Q26" s="12">
        <f t="shared" si="7"/>
        <v>48003.38</v>
      </c>
      <c r="R26" s="12">
        <f t="shared" si="7"/>
        <v>48003.38</v>
      </c>
      <c r="T26" s="7" t="s">
        <v>22</v>
      </c>
      <c r="U26" s="12">
        <f t="shared" si="8"/>
        <v>34403.22</v>
      </c>
      <c r="V26" s="12">
        <f t="shared" si="8"/>
        <v>34403.22</v>
      </c>
      <c r="W26" s="12">
        <f t="shared" si="8"/>
        <v>34403.22</v>
      </c>
      <c r="X26" s="12">
        <f t="shared" si="8"/>
        <v>34403.22</v>
      </c>
      <c r="Z26" s="7" t="s">
        <v>22</v>
      </c>
      <c r="AA26" s="12">
        <f t="shared" si="9"/>
        <v>5005.9799999999996</v>
      </c>
      <c r="AB26" s="12">
        <f t="shared" si="9"/>
        <v>5005.9799999999996</v>
      </c>
      <c r="AC26" s="12">
        <f t="shared" si="9"/>
        <v>5005.9799999999996</v>
      </c>
      <c r="AD26" s="12">
        <f t="shared" si="9"/>
        <v>5005.9799999999996</v>
      </c>
    </row>
    <row r="27" spans="2:30" s="1" customFormat="1" outlineLevel="1" x14ac:dyDescent="0.35">
      <c r="B27" s="7" t="s">
        <v>23</v>
      </c>
      <c r="C27" s="12">
        <f t="shared" si="5"/>
        <v>0</v>
      </c>
      <c r="D27" s="12">
        <f t="shared" si="5"/>
        <v>0</v>
      </c>
      <c r="E27" s="12">
        <f t="shared" si="5"/>
        <v>0</v>
      </c>
      <c r="F27" s="12">
        <f t="shared" si="5"/>
        <v>0</v>
      </c>
      <c r="H27" s="7" t="s">
        <v>23</v>
      </c>
      <c r="I27" s="12">
        <f t="shared" si="6"/>
        <v>0</v>
      </c>
      <c r="J27" s="12">
        <f t="shared" si="6"/>
        <v>0</v>
      </c>
      <c r="K27" s="12">
        <f t="shared" si="6"/>
        <v>0</v>
      </c>
      <c r="L27" s="12">
        <f t="shared" si="6"/>
        <v>0</v>
      </c>
      <c r="N27" s="7" t="s">
        <v>23</v>
      </c>
      <c r="O27" s="12">
        <f t="shared" si="7"/>
        <v>0</v>
      </c>
      <c r="P27" s="12">
        <f t="shared" si="7"/>
        <v>0</v>
      </c>
      <c r="Q27" s="12">
        <f t="shared" si="7"/>
        <v>0</v>
      </c>
      <c r="R27" s="12">
        <f t="shared" si="7"/>
        <v>0</v>
      </c>
      <c r="T27" s="7" t="s">
        <v>23</v>
      </c>
      <c r="U27" s="12">
        <f t="shared" si="8"/>
        <v>0</v>
      </c>
      <c r="V27" s="12">
        <f t="shared" si="8"/>
        <v>0</v>
      </c>
      <c r="W27" s="12">
        <f t="shared" si="8"/>
        <v>0</v>
      </c>
      <c r="X27" s="12">
        <f t="shared" si="8"/>
        <v>0</v>
      </c>
      <c r="Z27" s="7" t="s">
        <v>23</v>
      </c>
      <c r="AA27" s="12">
        <f t="shared" si="9"/>
        <v>0</v>
      </c>
      <c r="AB27" s="12">
        <f t="shared" si="9"/>
        <v>0</v>
      </c>
      <c r="AC27" s="12">
        <f t="shared" si="9"/>
        <v>0</v>
      </c>
      <c r="AD27" s="12">
        <f t="shared" si="9"/>
        <v>0</v>
      </c>
    </row>
    <row r="28" spans="2:30" s="1" customFormat="1" outlineLevel="1" x14ac:dyDescent="0.35">
      <c r="B28" s="7" t="s">
        <v>24</v>
      </c>
      <c r="C28" s="12">
        <f t="shared" si="5"/>
        <v>0</v>
      </c>
      <c r="D28" s="12">
        <f t="shared" si="5"/>
        <v>0</v>
      </c>
      <c r="E28" s="12">
        <f t="shared" si="5"/>
        <v>0</v>
      </c>
      <c r="F28" s="12">
        <f t="shared" si="5"/>
        <v>0</v>
      </c>
      <c r="H28" s="7" t="s">
        <v>24</v>
      </c>
      <c r="I28" s="12">
        <f t="shared" si="6"/>
        <v>0</v>
      </c>
      <c r="J28" s="12">
        <f t="shared" si="6"/>
        <v>0</v>
      </c>
      <c r="K28" s="12">
        <f t="shared" si="6"/>
        <v>0</v>
      </c>
      <c r="L28" s="12">
        <f t="shared" si="6"/>
        <v>0</v>
      </c>
      <c r="N28" s="7" t="s">
        <v>24</v>
      </c>
      <c r="O28" s="12">
        <f t="shared" si="7"/>
        <v>0</v>
      </c>
      <c r="P28" s="12">
        <f t="shared" si="7"/>
        <v>0</v>
      </c>
      <c r="Q28" s="12">
        <f t="shared" si="7"/>
        <v>0</v>
      </c>
      <c r="R28" s="12">
        <f t="shared" si="7"/>
        <v>0</v>
      </c>
      <c r="T28" s="7" t="s">
        <v>24</v>
      </c>
      <c r="U28" s="12">
        <f t="shared" si="8"/>
        <v>0</v>
      </c>
      <c r="V28" s="12">
        <f t="shared" si="8"/>
        <v>0</v>
      </c>
      <c r="W28" s="12">
        <f t="shared" si="8"/>
        <v>0</v>
      </c>
      <c r="X28" s="12">
        <f t="shared" si="8"/>
        <v>0</v>
      </c>
      <c r="Z28" s="7" t="s">
        <v>24</v>
      </c>
      <c r="AA28" s="12">
        <f t="shared" si="9"/>
        <v>0</v>
      </c>
      <c r="AB28" s="12">
        <f t="shared" si="9"/>
        <v>0</v>
      </c>
      <c r="AC28" s="12">
        <f t="shared" si="9"/>
        <v>0</v>
      </c>
      <c r="AD28" s="12">
        <f t="shared" si="9"/>
        <v>0</v>
      </c>
    </row>
    <row r="29" spans="2:30" s="1" customFormat="1" outlineLevel="1" x14ac:dyDescent="0.35">
      <c r="B29" s="7" t="s">
        <v>25</v>
      </c>
      <c r="C29" s="12">
        <f t="shared" si="5"/>
        <v>802277.72</v>
      </c>
      <c r="D29" s="12">
        <f t="shared" si="5"/>
        <v>802277.72</v>
      </c>
      <c r="E29" s="12">
        <f t="shared" si="5"/>
        <v>802277.72</v>
      </c>
      <c r="F29" s="12">
        <f t="shared" si="5"/>
        <v>802277.72</v>
      </c>
      <c r="H29" s="7" t="s">
        <v>25</v>
      </c>
      <c r="I29" s="12">
        <f t="shared" si="6"/>
        <v>611438.72</v>
      </c>
      <c r="J29" s="12">
        <f t="shared" si="6"/>
        <v>611438.72</v>
      </c>
      <c r="K29" s="12">
        <f t="shared" si="6"/>
        <v>611438.72</v>
      </c>
      <c r="L29" s="12">
        <f t="shared" si="6"/>
        <v>611438.72</v>
      </c>
      <c r="N29" s="7" t="s">
        <v>25</v>
      </c>
      <c r="O29" s="12">
        <f t="shared" si="7"/>
        <v>5008</v>
      </c>
      <c r="P29" s="12">
        <f t="shared" si="7"/>
        <v>5008</v>
      </c>
      <c r="Q29" s="12">
        <f t="shared" si="7"/>
        <v>5008</v>
      </c>
      <c r="R29" s="12">
        <f t="shared" si="7"/>
        <v>5008</v>
      </c>
      <c r="T29" s="7" t="s">
        <v>25</v>
      </c>
      <c r="U29" s="12">
        <f t="shared" si="8"/>
        <v>140831</v>
      </c>
      <c r="V29" s="12">
        <f t="shared" si="8"/>
        <v>140831</v>
      </c>
      <c r="W29" s="12">
        <f t="shared" si="8"/>
        <v>140831</v>
      </c>
      <c r="X29" s="12">
        <f t="shared" si="8"/>
        <v>140831</v>
      </c>
      <c r="Z29" s="7" t="s">
        <v>25</v>
      </c>
      <c r="AA29" s="12">
        <f t="shared" si="9"/>
        <v>45000</v>
      </c>
      <c r="AB29" s="12">
        <f t="shared" si="9"/>
        <v>45000</v>
      </c>
      <c r="AC29" s="12">
        <f t="shared" si="9"/>
        <v>45000</v>
      </c>
      <c r="AD29" s="12">
        <f t="shared" si="9"/>
        <v>45000</v>
      </c>
    </row>
    <row r="30" spans="2:30" s="1" customFormat="1" outlineLevel="1" x14ac:dyDescent="0.35">
      <c r="B30" s="7" t="s">
        <v>26</v>
      </c>
      <c r="C30" s="12">
        <f t="shared" si="5"/>
        <v>0</v>
      </c>
      <c r="D30" s="12">
        <f t="shared" si="5"/>
        <v>0</v>
      </c>
      <c r="E30" s="12">
        <f t="shared" si="5"/>
        <v>0</v>
      </c>
      <c r="F30" s="12">
        <f t="shared" si="5"/>
        <v>0</v>
      </c>
      <c r="H30" s="7" t="s">
        <v>26</v>
      </c>
      <c r="I30" s="12">
        <f t="shared" si="6"/>
        <v>0</v>
      </c>
      <c r="J30" s="12">
        <f t="shared" si="6"/>
        <v>0</v>
      </c>
      <c r="K30" s="12">
        <f t="shared" si="6"/>
        <v>0</v>
      </c>
      <c r="L30" s="12">
        <f t="shared" si="6"/>
        <v>0</v>
      </c>
      <c r="N30" s="7" t="s">
        <v>26</v>
      </c>
      <c r="O30" s="12">
        <f t="shared" si="7"/>
        <v>0</v>
      </c>
      <c r="P30" s="12">
        <f t="shared" si="7"/>
        <v>0</v>
      </c>
      <c r="Q30" s="12">
        <f t="shared" si="7"/>
        <v>0</v>
      </c>
      <c r="R30" s="12">
        <f t="shared" si="7"/>
        <v>0</v>
      </c>
      <c r="T30" s="7" t="s">
        <v>26</v>
      </c>
      <c r="U30" s="12">
        <f t="shared" si="8"/>
        <v>0</v>
      </c>
      <c r="V30" s="12">
        <f t="shared" si="8"/>
        <v>0</v>
      </c>
      <c r="W30" s="12">
        <f t="shared" si="8"/>
        <v>0</v>
      </c>
      <c r="X30" s="12">
        <f t="shared" si="8"/>
        <v>0</v>
      </c>
      <c r="Z30" s="7" t="s">
        <v>26</v>
      </c>
      <c r="AA30" s="12">
        <f t="shared" si="9"/>
        <v>0</v>
      </c>
      <c r="AB30" s="12">
        <f t="shared" si="9"/>
        <v>0</v>
      </c>
      <c r="AC30" s="12">
        <f t="shared" si="9"/>
        <v>0</v>
      </c>
      <c r="AD30" s="12">
        <f t="shared" si="9"/>
        <v>0</v>
      </c>
    </row>
    <row r="31" spans="2:30" s="1" customFormat="1" outlineLevel="1" x14ac:dyDescent="0.35">
      <c r="B31" s="7" t="s">
        <v>27</v>
      </c>
      <c r="C31" s="12">
        <f t="shared" si="5"/>
        <v>3.55</v>
      </c>
      <c r="D31" s="12">
        <f t="shared" si="5"/>
        <v>3.55</v>
      </c>
      <c r="E31" s="12">
        <f t="shared" si="5"/>
        <v>3.55</v>
      </c>
      <c r="F31" s="12">
        <f t="shared" si="5"/>
        <v>3.55</v>
      </c>
      <c r="H31" s="7" t="s">
        <v>27</v>
      </c>
      <c r="I31" s="12">
        <f t="shared" si="6"/>
        <v>3.55</v>
      </c>
      <c r="J31" s="12">
        <f t="shared" si="6"/>
        <v>3.55</v>
      </c>
      <c r="K31" s="12">
        <f t="shared" si="6"/>
        <v>3.55</v>
      </c>
      <c r="L31" s="12">
        <f t="shared" si="6"/>
        <v>3.55</v>
      </c>
      <c r="N31" s="7" t="s">
        <v>27</v>
      </c>
      <c r="O31" s="12">
        <f t="shared" si="7"/>
        <v>0</v>
      </c>
      <c r="P31" s="12">
        <f t="shared" si="7"/>
        <v>0</v>
      </c>
      <c r="Q31" s="12">
        <f t="shared" si="7"/>
        <v>0</v>
      </c>
      <c r="R31" s="12">
        <f t="shared" si="7"/>
        <v>0</v>
      </c>
      <c r="T31" s="7" t="s">
        <v>27</v>
      </c>
      <c r="U31" s="12">
        <f t="shared" si="8"/>
        <v>0</v>
      </c>
      <c r="V31" s="12">
        <f t="shared" si="8"/>
        <v>0</v>
      </c>
      <c r="W31" s="12">
        <f t="shared" si="8"/>
        <v>0</v>
      </c>
      <c r="X31" s="12">
        <f t="shared" si="8"/>
        <v>0</v>
      </c>
      <c r="Z31" s="7" t="s">
        <v>27</v>
      </c>
      <c r="AA31" s="12">
        <f t="shared" si="9"/>
        <v>0</v>
      </c>
      <c r="AB31" s="12">
        <f t="shared" si="9"/>
        <v>0</v>
      </c>
      <c r="AC31" s="12">
        <f t="shared" si="9"/>
        <v>0</v>
      </c>
      <c r="AD31" s="12">
        <f t="shared" si="9"/>
        <v>0</v>
      </c>
    </row>
    <row r="32" spans="2:30" s="1" customFormat="1" outlineLevel="1" x14ac:dyDescent="0.35">
      <c r="B32" s="7" t="s">
        <v>28</v>
      </c>
      <c r="C32" s="12">
        <f t="shared" si="5"/>
        <v>0</v>
      </c>
      <c r="D32" s="12">
        <f t="shared" si="5"/>
        <v>0</v>
      </c>
      <c r="E32" s="12">
        <f t="shared" si="5"/>
        <v>0</v>
      </c>
      <c r="F32" s="12">
        <f t="shared" si="5"/>
        <v>0</v>
      </c>
      <c r="H32" s="7" t="s">
        <v>28</v>
      </c>
      <c r="I32" s="12">
        <f t="shared" si="6"/>
        <v>0</v>
      </c>
      <c r="J32" s="12">
        <f t="shared" si="6"/>
        <v>0</v>
      </c>
      <c r="K32" s="12">
        <f t="shared" si="6"/>
        <v>0</v>
      </c>
      <c r="L32" s="12">
        <f t="shared" si="6"/>
        <v>0</v>
      </c>
      <c r="N32" s="7" t="s">
        <v>28</v>
      </c>
      <c r="O32" s="12">
        <f t="shared" si="7"/>
        <v>0</v>
      </c>
      <c r="P32" s="12">
        <f t="shared" si="7"/>
        <v>0</v>
      </c>
      <c r="Q32" s="12">
        <f t="shared" si="7"/>
        <v>0</v>
      </c>
      <c r="R32" s="12">
        <f t="shared" si="7"/>
        <v>0</v>
      </c>
      <c r="T32" s="7" t="s">
        <v>28</v>
      </c>
      <c r="U32" s="12">
        <f t="shared" si="8"/>
        <v>0</v>
      </c>
      <c r="V32" s="12">
        <f t="shared" si="8"/>
        <v>0</v>
      </c>
      <c r="W32" s="12">
        <f t="shared" si="8"/>
        <v>0</v>
      </c>
      <c r="X32" s="12">
        <f t="shared" si="8"/>
        <v>0</v>
      </c>
      <c r="Z32" s="7" t="s">
        <v>28</v>
      </c>
      <c r="AA32" s="12">
        <f t="shared" si="9"/>
        <v>0</v>
      </c>
      <c r="AB32" s="12">
        <f t="shared" si="9"/>
        <v>0</v>
      </c>
      <c r="AC32" s="12">
        <f t="shared" si="9"/>
        <v>0</v>
      </c>
      <c r="AD32" s="12">
        <f t="shared" si="9"/>
        <v>0</v>
      </c>
    </row>
    <row r="33" spans="2:30" outlineLevel="1" x14ac:dyDescent="0.35">
      <c r="B33" s="7" t="s">
        <v>8</v>
      </c>
      <c r="C33" s="12">
        <f t="shared" si="5"/>
        <v>0</v>
      </c>
      <c r="D33" s="12">
        <f t="shared" si="5"/>
        <v>0</v>
      </c>
      <c r="E33" s="12">
        <f t="shared" si="5"/>
        <v>0</v>
      </c>
      <c r="F33" s="12">
        <f t="shared" si="5"/>
        <v>0</v>
      </c>
      <c r="H33" s="7" t="s">
        <v>8</v>
      </c>
      <c r="I33" s="12">
        <f t="shared" si="6"/>
        <v>0</v>
      </c>
      <c r="J33" s="12">
        <f t="shared" si="6"/>
        <v>0</v>
      </c>
      <c r="K33" s="12">
        <f t="shared" si="6"/>
        <v>0</v>
      </c>
      <c r="L33" s="12">
        <f t="shared" si="6"/>
        <v>0</v>
      </c>
      <c r="N33" s="7" t="s">
        <v>8</v>
      </c>
      <c r="O33" s="12">
        <f t="shared" si="7"/>
        <v>0</v>
      </c>
      <c r="P33" s="12">
        <f t="shared" si="7"/>
        <v>0</v>
      </c>
      <c r="Q33" s="12">
        <f t="shared" si="7"/>
        <v>0</v>
      </c>
      <c r="R33" s="12">
        <f t="shared" si="7"/>
        <v>0</v>
      </c>
      <c r="T33" s="7" t="s">
        <v>8</v>
      </c>
      <c r="U33" s="12">
        <f t="shared" si="8"/>
        <v>0</v>
      </c>
      <c r="V33" s="12">
        <f t="shared" si="8"/>
        <v>0</v>
      </c>
      <c r="W33" s="12">
        <f t="shared" si="8"/>
        <v>0</v>
      </c>
      <c r="X33" s="12">
        <f t="shared" si="8"/>
        <v>0</v>
      </c>
      <c r="Z33" s="7" t="s">
        <v>8</v>
      </c>
      <c r="AA33" s="12">
        <f t="shared" si="9"/>
        <v>0</v>
      </c>
      <c r="AB33" s="12">
        <f t="shared" si="9"/>
        <v>0</v>
      </c>
      <c r="AC33" s="12">
        <f t="shared" si="9"/>
        <v>0</v>
      </c>
      <c r="AD33" s="12">
        <f t="shared" si="9"/>
        <v>0</v>
      </c>
    </row>
    <row r="34" spans="2:30" outlineLevel="1" x14ac:dyDescent="0.35">
      <c r="B34" s="7" t="s">
        <v>29</v>
      </c>
      <c r="C34" s="12">
        <f t="shared" si="5"/>
        <v>0</v>
      </c>
      <c r="D34" s="12">
        <f t="shared" si="5"/>
        <v>0</v>
      </c>
      <c r="E34" s="12">
        <f t="shared" si="5"/>
        <v>0</v>
      </c>
      <c r="F34" s="12">
        <f t="shared" si="5"/>
        <v>0</v>
      </c>
      <c r="H34" s="7" t="s">
        <v>29</v>
      </c>
      <c r="I34" s="12">
        <f t="shared" si="6"/>
        <v>0</v>
      </c>
      <c r="J34" s="12">
        <f t="shared" si="6"/>
        <v>0</v>
      </c>
      <c r="K34" s="12">
        <f t="shared" si="6"/>
        <v>0</v>
      </c>
      <c r="L34" s="12">
        <f t="shared" si="6"/>
        <v>0</v>
      </c>
      <c r="N34" s="7" t="s">
        <v>29</v>
      </c>
      <c r="O34" s="12">
        <f t="shared" si="7"/>
        <v>0</v>
      </c>
      <c r="P34" s="12">
        <f t="shared" si="7"/>
        <v>0</v>
      </c>
      <c r="Q34" s="12">
        <f t="shared" si="7"/>
        <v>0</v>
      </c>
      <c r="R34" s="12">
        <f t="shared" si="7"/>
        <v>0</v>
      </c>
      <c r="T34" s="7" t="s">
        <v>29</v>
      </c>
      <c r="U34" s="12">
        <f t="shared" si="8"/>
        <v>0</v>
      </c>
      <c r="V34" s="12">
        <f t="shared" si="8"/>
        <v>0</v>
      </c>
      <c r="W34" s="12">
        <f t="shared" si="8"/>
        <v>0</v>
      </c>
      <c r="X34" s="12">
        <f t="shared" si="8"/>
        <v>0</v>
      </c>
      <c r="Z34" s="7" t="s">
        <v>29</v>
      </c>
      <c r="AA34" s="12">
        <f t="shared" si="9"/>
        <v>0</v>
      </c>
      <c r="AB34" s="12">
        <f t="shared" si="9"/>
        <v>0</v>
      </c>
      <c r="AC34" s="12">
        <f t="shared" si="9"/>
        <v>0</v>
      </c>
      <c r="AD34" s="12">
        <f t="shared" si="9"/>
        <v>0</v>
      </c>
    </row>
    <row r="35" spans="2:30" outlineLevel="1" x14ac:dyDescent="0.35">
      <c r="B35" s="7" t="s">
        <v>30</v>
      </c>
      <c r="C35" s="12">
        <f t="shared" si="5"/>
        <v>0</v>
      </c>
      <c r="D35" s="12">
        <f t="shared" si="5"/>
        <v>0</v>
      </c>
      <c r="E35" s="12">
        <f t="shared" si="5"/>
        <v>0</v>
      </c>
      <c r="F35" s="12">
        <f t="shared" si="5"/>
        <v>0</v>
      </c>
      <c r="H35" s="7" t="s">
        <v>30</v>
      </c>
      <c r="I35" s="12">
        <f t="shared" si="6"/>
        <v>0</v>
      </c>
      <c r="J35" s="12">
        <f t="shared" si="6"/>
        <v>0</v>
      </c>
      <c r="K35" s="12">
        <f t="shared" si="6"/>
        <v>0</v>
      </c>
      <c r="L35" s="12">
        <f t="shared" si="6"/>
        <v>0</v>
      </c>
      <c r="N35" s="7" t="s">
        <v>30</v>
      </c>
      <c r="O35" s="12">
        <f t="shared" si="7"/>
        <v>0</v>
      </c>
      <c r="P35" s="12">
        <f t="shared" si="7"/>
        <v>0</v>
      </c>
      <c r="Q35" s="12">
        <f t="shared" si="7"/>
        <v>0</v>
      </c>
      <c r="R35" s="12">
        <f t="shared" si="7"/>
        <v>0</v>
      </c>
      <c r="T35" s="7" t="s">
        <v>30</v>
      </c>
      <c r="U35" s="12">
        <f t="shared" si="8"/>
        <v>0</v>
      </c>
      <c r="V35" s="12">
        <f t="shared" si="8"/>
        <v>0</v>
      </c>
      <c r="W35" s="12">
        <f t="shared" si="8"/>
        <v>0</v>
      </c>
      <c r="X35" s="12">
        <f t="shared" si="8"/>
        <v>0</v>
      </c>
      <c r="Z35" s="7" t="s">
        <v>30</v>
      </c>
      <c r="AA35" s="12">
        <f t="shared" si="9"/>
        <v>0</v>
      </c>
      <c r="AB35" s="12">
        <f t="shared" si="9"/>
        <v>0</v>
      </c>
      <c r="AC35" s="12">
        <f t="shared" si="9"/>
        <v>0</v>
      </c>
      <c r="AD35" s="12">
        <f t="shared" si="9"/>
        <v>0</v>
      </c>
    </row>
    <row r="36" spans="2:30" outlineLevel="1" x14ac:dyDescent="0.35">
      <c r="B36" s="7" t="s">
        <v>31</v>
      </c>
      <c r="C36" s="12">
        <f t="shared" si="5"/>
        <v>0</v>
      </c>
      <c r="D36" s="12">
        <f t="shared" si="5"/>
        <v>0</v>
      </c>
      <c r="E36" s="12">
        <f t="shared" si="5"/>
        <v>0</v>
      </c>
      <c r="F36" s="12">
        <f t="shared" si="5"/>
        <v>0</v>
      </c>
      <c r="H36" s="7" t="s">
        <v>31</v>
      </c>
      <c r="I36" s="12">
        <f t="shared" si="6"/>
        <v>0</v>
      </c>
      <c r="J36" s="12">
        <f t="shared" si="6"/>
        <v>0</v>
      </c>
      <c r="K36" s="12">
        <f t="shared" si="6"/>
        <v>0</v>
      </c>
      <c r="L36" s="12">
        <f t="shared" si="6"/>
        <v>0</v>
      </c>
      <c r="N36" s="7" t="s">
        <v>31</v>
      </c>
      <c r="O36" s="12">
        <f t="shared" si="7"/>
        <v>0</v>
      </c>
      <c r="P36" s="12">
        <f t="shared" si="7"/>
        <v>0</v>
      </c>
      <c r="Q36" s="12">
        <f t="shared" si="7"/>
        <v>0</v>
      </c>
      <c r="R36" s="12">
        <f t="shared" si="7"/>
        <v>0</v>
      </c>
      <c r="T36" s="7" t="s">
        <v>31</v>
      </c>
      <c r="U36" s="12">
        <f t="shared" si="8"/>
        <v>0</v>
      </c>
      <c r="V36" s="12">
        <f t="shared" si="8"/>
        <v>0</v>
      </c>
      <c r="W36" s="12">
        <f t="shared" si="8"/>
        <v>0</v>
      </c>
      <c r="X36" s="12">
        <f t="shared" si="8"/>
        <v>0</v>
      </c>
      <c r="Z36" s="7" t="s">
        <v>31</v>
      </c>
      <c r="AA36" s="12">
        <f t="shared" si="9"/>
        <v>0</v>
      </c>
      <c r="AB36" s="12">
        <f t="shared" si="9"/>
        <v>0</v>
      </c>
      <c r="AC36" s="12">
        <f t="shared" si="9"/>
        <v>0</v>
      </c>
      <c r="AD36" s="12">
        <f t="shared" si="9"/>
        <v>0</v>
      </c>
    </row>
    <row r="37" spans="2:30" x14ac:dyDescent="0.35">
      <c r="B37" s="9" t="s">
        <v>32</v>
      </c>
      <c r="C37" s="13">
        <f>SUM(C16:C36)</f>
        <v>13032304.582998002</v>
      </c>
      <c r="D37" s="13">
        <f>SUM(D16:D36)</f>
        <v>13032304.582998002</v>
      </c>
      <c r="E37" s="13">
        <f>E75+E113</f>
        <v>13032304.582998002</v>
      </c>
      <c r="F37" s="13">
        <f>F75+F113</f>
        <v>13032304.582998002</v>
      </c>
      <c r="H37" s="9" t="s">
        <v>32</v>
      </c>
      <c r="I37" s="13">
        <f>SUM(I16:I36)</f>
        <v>5266629.4929980002</v>
      </c>
      <c r="J37" s="13">
        <f>SUM(J16:J36)</f>
        <v>5266629.4929980002</v>
      </c>
      <c r="K37" s="13">
        <f>K75+K113</f>
        <v>5266629.4929980002</v>
      </c>
      <c r="L37" s="13">
        <f>L75+L113</f>
        <v>5266629.4929980002</v>
      </c>
      <c r="N37" s="9" t="s">
        <v>32</v>
      </c>
      <c r="O37" s="13">
        <f>SUM(O16:O36)</f>
        <v>1050998.5099999998</v>
      </c>
      <c r="P37" s="13">
        <f>SUM(P16:P36)</f>
        <v>1050998.5099999998</v>
      </c>
      <c r="Q37" s="13">
        <f>Q75+Q113</f>
        <v>1050998.5099999998</v>
      </c>
      <c r="R37" s="13">
        <f>R75+R113</f>
        <v>1050998.5099999998</v>
      </c>
      <c r="T37" s="9" t="s">
        <v>32</v>
      </c>
      <c r="U37" s="13">
        <f>SUM(U16:U36)</f>
        <v>5961905.7000000002</v>
      </c>
      <c r="V37" s="13">
        <f>SUM(V16:V36)</f>
        <v>5961905.7000000002</v>
      </c>
      <c r="W37" s="13">
        <f>W75+W113</f>
        <v>5961905.7000000002</v>
      </c>
      <c r="X37" s="13">
        <f>X75+X113</f>
        <v>5961905.7000000002</v>
      </c>
      <c r="Z37" s="9" t="s">
        <v>32</v>
      </c>
      <c r="AA37" s="13">
        <f>SUM(AA16:AA36)</f>
        <v>752770.88</v>
      </c>
      <c r="AB37" s="13">
        <f>SUM(AB16:AB36)</f>
        <v>752770.88</v>
      </c>
      <c r="AC37" s="13">
        <f>AC75+AC113</f>
        <v>752770.88</v>
      </c>
      <c r="AD37" s="13">
        <f>AD75+AD113</f>
        <v>752770.88</v>
      </c>
    </row>
    <row r="38" spans="2:30" x14ac:dyDescent="0.35">
      <c r="B38" s="7"/>
      <c r="C38" s="12"/>
      <c r="D38" s="12"/>
      <c r="E38" s="12"/>
      <c r="F38" s="12"/>
      <c r="H38" s="7"/>
      <c r="I38" s="12"/>
      <c r="J38" s="12"/>
      <c r="K38" s="12"/>
      <c r="L38" s="12"/>
      <c r="N38" s="7"/>
      <c r="O38" s="12"/>
      <c r="P38" s="12"/>
      <c r="Q38" s="12"/>
      <c r="R38" s="12"/>
      <c r="T38" s="7"/>
      <c r="U38" s="12"/>
      <c r="V38" s="12"/>
      <c r="W38" s="12"/>
      <c r="X38" s="12"/>
      <c r="Z38" s="7"/>
      <c r="AA38" s="12"/>
      <c r="AB38" s="12"/>
      <c r="AC38" s="12"/>
      <c r="AD38" s="12"/>
    </row>
    <row r="39" spans="2:30" x14ac:dyDescent="0.35">
      <c r="B39" s="11" t="s">
        <v>1</v>
      </c>
      <c r="C39" s="15">
        <f>C14+C37</f>
        <v>61427582.673298001</v>
      </c>
      <c r="D39" s="15">
        <f>D14+D37</f>
        <v>63802978.758278571</v>
      </c>
      <c r="E39" s="15">
        <f>E77+E115</f>
        <v>63802978.758278571</v>
      </c>
      <c r="F39" s="15">
        <f>F77+F115</f>
        <v>63802978.758278571</v>
      </c>
      <c r="H39" s="11" t="s">
        <v>1</v>
      </c>
      <c r="I39" s="15">
        <f>I14+I37</f>
        <v>34765805.450739995</v>
      </c>
      <c r="J39" s="15">
        <f>J14+J37</f>
        <v>36050149.788510561</v>
      </c>
      <c r="K39" s="15">
        <f>K77+K115</f>
        <v>36050149.788510561</v>
      </c>
      <c r="L39" s="15">
        <f>L77+L115</f>
        <v>36050149.788510561</v>
      </c>
      <c r="N39" s="11" t="s">
        <v>1</v>
      </c>
      <c r="O39" s="15">
        <f>O14+O37</f>
        <v>5943823.7222160008</v>
      </c>
      <c r="P39" s="15">
        <f>P14+P37</f>
        <v>6254018.5840217145</v>
      </c>
      <c r="Q39" s="15">
        <f>Q77+Q115</f>
        <v>6254018.5840217145</v>
      </c>
      <c r="R39" s="15">
        <f>R77+R115</f>
        <v>6254018.5840217145</v>
      </c>
      <c r="T39" s="11" t="s">
        <v>1</v>
      </c>
      <c r="U39" s="15">
        <f>U14+U37</f>
        <v>16225386.921085004</v>
      </c>
      <c r="V39" s="15">
        <f>V14+V37</f>
        <v>17002837.749218162</v>
      </c>
      <c r="W39" s="15">
        <f>W77+W115</f>
        <v>17002837.749218162</v>
      </c>
      <c r="X39" s="15">
        <f>X77+X115</f>
        <v>17002837.749218162</v>
      </c>
      <c r="Z39" s="11" t="s">
        <v>1</v>
      </c>
      <c r="AA39" s="15">
        <f>AA14+AA37</f>
        <v>4492566.5792570002</v>
      </c>
      <c r="AB39" s="15">
        <f>AB14+AB37</f>
        <v>4495972.6365281362</v>
      </c>
      <c r="AC39" s="15">
        <f>AC77+AC115</f>
        <v>4495972.6365281362</v>
      </c>
      <c r="AD39" s="15">
        <f>AD77+AD115</f>
        <v>4495972.6365281362</v>
      </c>
    </row>
    <row r="40" spans="2:30" x14ac:dyDescent="0.35">
      <c r="B40" s="7"/>
      <c r="C40" s="12"/>
      <c r="D40" s="12"/>
      <c r="E40" s="12"/>
      <c r="F40" s="12"/>
      <c r="H40" s="7"/>
      <c r="I40" s="12"/>
      <c r="J40" s="12"/>
      <c r="K40" s="12"/>
      <c r="L40" s="12"/>
      <c r="N40" s="7"/>
      <c r="O40" s="12"/>
      <c r="P40" s="12"/>
      <c r="Q40" s="12"/>
      <c r="R40" s="12"/>
      <c r="T40" s="7"/>
      <c r="U40" s="12"/>
      <c r="V40" s="12"/>
      <c r="W40" s="12"/>
      <c r="X40" s="12"/>
      <c r="Z40" s="7"/>
      <c r="AA40" s="12"/>
      <c r="AB40" s="12"/>
      <c r="AC40" s="12"/>
      <c r="AD40" s="12"/>
    </row>
    <row r="41" spans="2:30" ht="15" customHeight="1" x14ac:dyDescent="0.35">
      <c r="B41" s="2" t="s">
        <v>33</v>
      </c>
      <c r="C41" s="16"/>
      <c r="D41" s="16"/>
      <c r="E41" s="16"/>
      <c r="F41" s="16"/>
      <c r="H41" s="2" t="s">
        <v>33</v>
      </c>
      <c r="I41" s="16"/>
      <c r="J41" s="16"/>
      <c r="K41" s="16"/>
      <c r="L41" s="16"/>
      <c r="N41" s="2" t="s">
        <v>33</v>
      </c>
      <c r="O41" s="16"/>
      <c r="P41" s="16"/>
      <c r="Q41" s="16"/>
      <c r="R41" s="16"/>
      <c r="T41" s="2" t="s">
        <v>33</v>
      </c>
      <c r="U41" s="16"/>
      <c r="V41" s="16"/>
      <c r="W41" s="16"/>
      <c r="X41" s="16"/>
      <c r="Z41" s="2" t="s">
        <v>33</v>
      </c>
      <c r="AA41" s="16"/>
      <c r="AB41" s="16"/>
      <c r="AC41" s="16"/>
      <c r="AD41" s="16"/>
    </row>
    <row r="42" spans="2:30" s="6" customFormat="1" x14ac:dyDescent="0.35">
      <c r="B42" s="8"/>
      <c r="C42" s="8">
        <v>2026</v>
      </c>
      <c r="D42" s="8">
        <v>2027</v>
      </c>
      <c r="E42" s="8">
        <v>2028</v>
      </c>
      <c r="F42" s="8">
        <v>2029</v>
      </c>
      <c r="H42" s="8"/>
      <c r="I42" s="8">
        <v>2026</v>
      </c>
      <c r="J42" s="8">
        <v>2027</v>
      </c>
      <c r="K42" s="8">
        <v>2028</v>
      </c>
      <c r="L42" s="8">
        <v>2029</v>
      </c>
      <c r="N42" s="8"/>
      <c r="O42" s="8">
        <v>2026</v>
      </c>
      <c r="P42" s="8">
        <v>2027</v>
      </c>
      <c r="Q42" s="8">
        <v>2028</v>
      </c>
      <c r="R42" s="8">
        <v>2029</v>
      </c>
      <c r="T42" s="8"/>
      <c r="U42" s="8">
        <v>2026</v>
      </c>
      <c r="V42" s="8">
        <v>2027</v>
      </c>
      <c r="W42" s="8">
        <v>2028</v>
      </c>
      <c r="X42" s="8">
        <v>2029</v>
      </c>
      <c r="Z42" s="8"/>
      <c r="AA42" s="8">
        <v>2026</v>
      </c>
      <c r="AB42" s="8">
        <v>2027</v>
      </c>
      <c r="AC42" s="8">
        <v>2028</v>
      </c>
      <c r="AD42" s="8">
        <v>2029</v>
      </c>
    </row>
    <row r="43" spans="2:30" outlineLevel="1" x14ac:dyDescent="0.35">
      <c r="B43" s="7" t="s">
        <v>2</v>
      </c>
      <c r="C43" s="12">
        <f>SUMIFS('Base - Payroll'!$E:$E,'Base - Payroll'!$A:$A,Summary!$B43)</f>
        <v>27021147.254332997</v>
      </c>
      <c r="D43" s="12">
        <f>SUMIFS('Base - Payroll'!$G:$G,'Base - Payroll'!$A:$A,Summary!$B43)</f>
        <v>28096811.817958001</v>
      </c>
      <c r="E43" s="12">
        <f>SUMIFS('Base - Payroll'!$H:$H,'Base - Payroll'!$A:$A,Summary!$B43)</f>
        <v>28096811.817958001</v>
      </c>
      <c r="F43" s="12">
        <f>SUMIFS('Base - Payroll'!$I:$I,'Base - Payroll'!$A:$A,Summary!$B43)</f>
        <v>28096811.817958001</v>
      </c>
      <c r="H43" s="7" t="s">
        <v>2</v>
      </c>
      <c r="I43" s="12">
        <f>SUMIFS('Base - Payroll'!$E:$E,'Base - Payroll'!$A:$A,$H43,'Base - Payroll'!$B:$B,"  "&amp;$H$1)</f>
        <v>17132061.468371</v>
      </c>
      <c r="J43" s="12">
        <f>SUMIFS('Base - Payroll'!$G:$G,'Base - Payroll'!$A:$A,$H43,'Base - Payroll'!$B:$B,"  "&amp;$H$1)</f>
        <v>17864963.001421001</v>
      </c>
      <c r="K43" s="12">
        <f>SUMIFS('Base - Payroll'!$H:$H,'Base - Payroll'!$A:$A,$H43,'Base - Payroll'!$B:$B,"  "&amp;$H$1)</f>
        <v>17864963.001421001</v>
      </c>
      <c r="L43" s="12">
        <f>SUMIFS('Base - Payroll'!$I:$I,'Base - Payroll'!$A:$A,$H43,'Base - Payroll'!$B:$B,"  "&amp;$H$1)</f>
        <v>17864963.001421001</v>
      </c>
      <c r="N43" s="7" t="s">
        <v>2</v>
      </c>
      <c r="O43" s="12">
        <f>SUMIFS('Base - Payroll'!$E:$E,'Base - Payroll'!$A:$A,$N43,'Base - Payroll'!$B:$B,"  "&amp;$N$1)</f>
        <v>2947996.2885719999</v>
      </c>
      <c r="P43" s="12">
        <f>SUMIFS('Base - Payroll'!$G:$G,'Base - Payroll'!$A:$A,$N43,'Base - Payroll'!$B:$B,"  "&amp;$N$1)</f>
        <v>3072936.5000049998</v>
      </c>
      <c r="Q43" s="12">
        <f>SUMIFS('Base - Payroll'!$H:$H,'Base - Payroll'!$A:$A,$N43,'Base - Payroll'!$B:$B,"  "&amp;$N$1)</f>
        <v>3072936.5000049998</v>
      </c>
      <c r="R43" s="12">
        <f>SUMIFS('Base - Payroll'!$I:$I,'Base - Payroll'!$A:$A,$N43,'Base - Payroll'!$B:$B,"  "&amp;$N$1)</f>
        <v>3072936.5000049998</v>
      </c>
      <c r="T43" s="7" t="s">
        <v>2</v>
      </c>
      <c r="U43" s="12">
        <f>SUMIFS('Base - Payroll'!$E:$E,'Base - Payroll'!$A:$A,$T43,'Base - Payroll'!$B:$B,"  "&amp;$T$1)</f>
        <v>5943317.6527899997</v>
      </c>
      <c r="V43" s="12">
        <f>SUMIFS('Base - Payroll'!$G:$G,'Base - Payroll'!$A:$A,$T43,'Base - Payroll'!$B:$B,"  "&amp;$T$1)</f>
        <v>6160231.7409960004</v>
      </c>
      <c r="W43" s="12">
        <f>SUMIFS('Base - Payroll'!$H:$H,'Base - Payroll'!$A:$A,$T43,'Base - Payroll'!$B:$B,"  "&amp;$T$1)</f>
        <v>6160231.7409960004</v>
      </c>
      <c r="X43" s="12">
        <f>SUMIFS('Base - Payroll'!$I:$I,'Base - Payroll'!$A:$A,$T43,'Base - Payroll'!$B:$B,"  "&amp;$T$1)</f>
        <v>6160231.7409960004</v>
      </c>
      <c r="Z43" s="7" t="s">
        <v>2</v>
      </c>
      <c r="AA43" s="12">
        <f>SUMIFS('Base - Payroll'!$E:$E,'Base - Payroll'!$A:$A,$Z43,'Base - Payroll'!$B:$B,"  "&amp;$Z$1)</f>
        <v>997771.84459999995</v>
      </c>
      <c r="AB43" s="12">
        <f>SUMIFS('Base - Payroll'!$G:$G,'Base - Payroll'!$A:$A,$Z43,'Base - Payroll'!$B:$B,"  "&amp;$Z$1)</f>
        <v>998680.57553599996</v>
      </c>
      <c r="AC43" s="12">
        <f>SUMIFS('Base - Payroll'!$H:$H,'Base - Payroll'!$A:$A,$Z43,'Base - Payroll'!$B:$B,"  "&amp;$Z$1)</f>
        <v>998680.57553599996</v>
      </c>
      <c r="AD43" s="12">
        <f>SUMIFS('Base - Payroll'!$I:$I,'Base - Payroll'!$A:$A,$Z43,'Base - Payroll'!$B:$B,"  "&amp;$Z$1)</f>
        <v>998680.57553599996</v>
      </c>
    </row>
    <row r="44" spans="2:30" outlineLevel="1" x14ac:dyDescent="0.35">
      <c r="B44" s="7" t="s">
        <v>3</v>
      </c>
      <c r="C44" s="12">
        <f>SUMIFS('Base - Payroll'!$E:$E,'Base - Payroll'!$A:$A,Summary!$B44)</f>
        <v>7777198.6153369993</v>
      </c>
      <c r="D44" s="12">
        <f>SUMIFS('Base - Payroll'!$G:$G,'Base - Payroll'!$A:$A,Summary!$B44)</f>
        <v>8060204.2131120367</v>
      </c>
      <c r="E44" s="12">
        <f>SUMIFS('Base - Payroll'!$H:$H,'Base - Payroll'!$A:$A,Summary!$B44)</f>
        <v>8060204.2131120367</v>
      </c>
      <c r="F44" s="12">
        <f>SUMIFS('Base - Payroll'!$I:$I,'Base - Payroll'!$A:$A,Summary!$B44)</f>
        <v>8060204.2131120367</v>
      </c>
      <c r="H44" s="7" t="s">
        <v>3</v>
      </c>
      <c r="I44" s="12">
        <f>SUMIFS('Base - Payroll'!$E:$E,'Base - Payroll'!$A:$A,$H44,'Base - Payroll'!$B:$B,"  "&amp;$H$1)</f>
        <v>4275135.4790589996</v>
      </c>
      <c r="J44" s="12">
        <f>SUMIFS('Base - Payroll'!$G:$G,'Base - Payroll'!$A:$A,$H44,'Base - Payroll'!$B:$B,"  "&amp;$H$1)</f>
        <v>4458023.7644170318</v>
      </c>
      <c r="K44" s="12">
        <f>SUMIFS('Base - Payroll'!$H:$H,'Base - Payroll'!$A:$A,$H44,'Base - Payroll'!$B:$B,"  "&amp;$H$1)</f>
        <v>4458023.7644170318</v>
      </c>
      <c r="L44" s="12">
        <f>SUMIFS('Base - Payroll'!$I:$I,'Base - Payroll'!$A:$A,$H44,'Base - Payroll'!$B:$B,"  "&amp;$H$1)</f>
        <v>4458023.7644170318</v>
      </c>
      <c r="N44" s="7" t="s">
        <v>3</v>
      </c>
      <c r="O44" s="12">
        <f>SUMIFS('Base - Payroll'!$E:$E,'Base - Payroll'!$A:$A,$N44,'Base - Payroll'!$B:$B,"  "&amp;$N$1)</f>
        <v>843955.68235899997</v>
      </c>
      <c r="P44" s="12">
        <f>SUMIFS('Base - Payroll'!$G:$G,'Base - Payroll'!$A:$A,$N44,'Base - Payroll'!$B:$B,"  "&amp;$N$1)</f>
        <v>879723.70615291444</v>
      </c>
      <c r="Q44" s="12">
        <f>SUMIFS('Base - Payroll'!$H:$H,'Base - Payroll'!$A:$A,$N44,'Base - Payroll'!$B:$B,"  "&amp;$N$1)</f>
        <v>879723.70615291444</v>
      </c>
      <c r="R44" s="12">
        <f>SUMIFS('Base - Payroll'!$I:$I,'Base - Payroll'!$A:$A,$N44,'Base - Payroll'!$B:$B,"  "&amp;$N$1)</f>
        <v>879723.70615291444</v>
      </c>
      <c r="T44" s="7" t="s">
        <v>3</v>
      </c>
      <c r="U44" s="12">
        <f>SUMIFS('Base - Payroll'!$E:$E,'Base - Payroll'!$A:$A,$T44,'Base - Payroll'!$B:$B,"  "&amp;$T$1)</f>
        <v>1740227.3807590001</v>
      </c>
      <c r="V44" s="12">
        <f>SUMIFS('Base - Payroll'!$G:$G,'Base - Payroll'!$A:$A,$T44,'Base - Payroll'!$B:$B,"  "&amp;$T$1)</f>
        <v>1803740.70069593</v>
      </c>
      <c r="W44" s="12">
        <f>SUMIFS('Base - Payroll'!$H:$H,'Base - Payroll'!$A:$A,$T44,'Base - Payroll'!$B:$B,"  "&amp;$T$1)</f>
        <v>1803740.70069593</v>
      </c>
      <c r="X44" s="12">
        <f>SUMIFS('Base - Payroll'!$I:$I,'Base - Payroll'!$A:$A,$T44,'Base - Payroll'!$B:$B,"  "&amp;$T$1)</f>
        <v>1803740.70069593</v>
      </c>
      <c r="Z44" s="7" t="s">
        <v>3</v>
      </c>
      <c r="AA44" s="12">
        <f>SUMIFS('Base - Payroll'!$E:$E,'Base - Payroll'!$A:$A,$Z44,'Base - Payroll'!$B:$B,"  "&amp;$Z$1)</f>
        <v>917880.07316000003</v>
      </c>
      <c r="AB44" s="12">
        <f>SUMIFS('Base - Payroll'!$G:$G,'Base - Payroll'!$A:$A,$Z44,'Base - Payroll'!$B:$B,"  "&amp;$Z$1)</f>
        <v>918716.04184616078</v>
      </c>
      <c r="AC44" s="12">
        <f>SUMIFS('Base - Payroll'!$H:$H,'Base - Payroll'!$A:$A,$Z44,'Base - Payroll'!$B:$B,"  "&amp;$Z$1)</f>
        <v>918716.04184616078</v>
      </c>
      <c r="AD44" s="12">
        <f>SUMIFS('Base - Payroll'!$I:$I,'Base - Payroll'!$A:$A,$Z44,'Base - Payroll'!$B:$B,"  "&amp;$Z$1)</f>
        <v>918716.04184616078</v>
      </c>
    </row>
    <row r="45" spans="2:30" outlineLevel="1" x14ac:dyDescent="0.35">
      <c r="B45" s="7" t="s">
        <v>4</v>
      </c>
      <c r="C45" s="12">
        <f>SUMIFS('Base - Non-Payroll'!$E:$E,'Base - Non-Payroll'!$A:$A,Summary!$B45)</f>
        <v>1285296.42</v>
      </c>
      <c r="D45" s="12">
        <f>SUMIFS('Base - Non-Payroll'!$H:$H,'Base - Non-Payroll'!$A:$A,Summary!$B45)</f>
        <v>1285296.42</v>
      </c>
      <c r="E45" s="12">
        <f>SUMIFS('Base - Non-Payroll'!$J:$J,'Base - Non-Payroll'!$A:$A,Summary!$B45)</f>
        <v>1285296.42</v>
      </c>
      <c r="F45" s="12">
        <f>SUMIFS('Base - Non-Payroll'!$L:$L,'Base - Non-Payroll'!$A:$A,Summary!$B45)</f>
        <v>1285296.42</v>
      </c>
      <c r="H45" s="7" t="s">
        <v>4</v>
      </c>
      <c r="I45" s="12">
        <f>SUMIFS('Base - Non-Payroll'!$E:$E,'Base - Non-Payroll'!$A:$A,$H45,'Base - Non-Payroll'!$B:$B,"  "&amp;$H$1)</f>
        <v>876620.84</v>
      </c>
      <c r="J45" s="12">
        <f>SUMIFS('Base - Non-Payroll'!$H:$H,'Base - Non-Payroll'!$A:$A,$H45,'Base - Non-Payroll'!$B:$B,"  "&amp;$H$1)</f>
        <v>876620.84</v>
      </c>
      <c r="K45" s="12">
        <f>SUMIFS('Base - Non-Payroll'!$J:$J,'Base - Non-Payroll'!$A:$A,$H45,'Base - Non-Payroll'!$B:$B,"  "&amp;$H$1)</f>
        <v>876620.84</v>
      </c>
      <c r="L45" s="12">
        <f>SUMIFS('Base - Non-Payroll'!$L:$L,'Base - Non-Payroll'!$A:$A,$H45,'Base - Non-Payroll'!$B:$B,"  "&amp;$H$1)</f>
        <v>876620.84</v>
      </c>
      <c r="N45" s="7" t="s">
        <v>4</v>
      </c>
      <c r="O45" s="12">
        <f>SUMIFS('Base - Non-Payroll'!$E:$E,'Base - Non-Payroll'!$A:$A,$N45,'Base - Non-Payroll'!$B:$B,"  "&amp;$N$1)</f>
        <v>0</v>
      </c>
      <c r="P45" s="12">
        <f>SUMIFS('Base - Non-Payroll'!$H:$H,'Base - Non-Payroll'!$A:$A,$N45,'Base - Non-Payroll'!$B:$B,"  "&amp;$N$1)</f>
        <v>0</v>
      </c>
      <c r="Q45" s="12">
        <f>SUMIFS('Base - Non-Payroll'!$J:$J,'Base - Non-Payroll'!$A:$A,$N45,'Base - Non-Payroll'!$B:$B,"  "&amp;$N$1)</f>
        <v>0</v>
      </c>
      <c r="R45" s="12">
        <f>SUMIFS('Base - Non-Payroll'!$L:$L,'Base - Non-Payroll'!$A:$A,$N45,'Base - Non-Payroll'!$B:$B,"  "&amp;$N$1)</f>
        <v>0</v>
      </c>
      <c r="T45" s="7" t="s">
        <v>4</v>
      </c>
      <c r="U45" s="12">
        <f>SUMIFS('Base - Non-Payroll'!$E:$E,'Base - Non-Payroll'!$A:$A,$T45,'Base - Non-Payroll'!$B:$B,"  "&amp;$T$1)</f>
        <v>408675.58</v>
      </c>
      <c r="V45" s="12">
        <f>SUMIFS('Base - Non-Payroll'!$H:$H,'Base - Non-Payroll'!$A:$A,$T45,'Base - Non-Payroll'!$B:$B,"  "&amp;$T$1)</f>
        <v>408675.58</v>
      </c>
      <c r="W45" s="12">
        <f>SUMIFS('Base - Non-Payroll'!$J:$J,'Base - Non-Payroll'!$A:$A,$T45,'Base - Non-Payroll'!$B:$B,"  "&amp;$T$1)</f>
        <v>408675.58</v>
      </c>
      <c r="X45" s="12">
        <f>SUMIFS('Base - Non-Payroll'!$L:$L,'Base - Non-Payroll'!$A:$A,$T45,'Base - Non-Payroll'!$B:$B,"  "&amp;$T$1)</f>
        <v>408675.58</v>
      </c>
      <c r="Z45" s="7" t="s">
        <v>4</v>
      </c>
      <c r="AA45" s="12">
        <f>SUMIFS('Base - Non-Payroll'!$E:$E,'Base - Non-Payroll'!$A:$A,$Z45,'Base - Non-Payroll'!$B:$B,"  "&amp;$Z$1)</f>
        <v>0</v>
      </c>
      <c r="AB45" s="12">
        <f>SUMIFS('Base - Non-Payroll'!$H:$H,'Base - Non-Payroll'!$A:$A,$Z45,'Base - Non-Payroll'!$B:$B,"  "&amp;$Z$1)</f>
        <v>0</v>
      </c>
      <c r="AC45" s="12">
        <f>SUMIFS('Base - Non-Payroll'!$J:$J,'Base - Non-Payroll'!$A:$A,$Z45,'Base - Non-Payroll'!$B:$B,"  "&amp;$Z$1)</f>
        <v>0</v>
      </c>
      <c r="AD45" s="12">
        <f>SUMIFS('Base - Non-Payroll'!$L:$L,'Base - Non-Payroll'!$A:$A,$Z45,'Base - Non-Payroll'!$B:$B,"  "&amp;$Z$1)</f>
        <v>0</v>
      </c>
    </row>
    <row r="46" spans="2:30" outlineLevel="1" x14ac:dyDescent="0.35">
      <c r="B46" s="7" t="s">
        <v>5</v>
      </c>
      <c r="C46" s="12">
        <f>SUMIFS('Base - Payroll'!$E:$E,'Base - Payroll'!$A:$A,Summary!$B46)</f>
        <v>3096763.0353000001</v>
      </c>
      <c r="D46" s="12">
        <f>SUMIFS('Base - Payroll'!$G:$G,'Base - Payroll'!$A:$A,Summary!$B46)</f>
        <v>3222133.8776988639</v>
      </c>
      <c r="E46" s="12">
        <f>SUMIFS('Base - Payroll'!$H:$H,'Base - Payroll'!$A:$A,Summary!$B46)</f>
        <v>3222133.8776988639</v>
      </c>
      <c r="F46" s="12">
        <f>SUMIFS('Base - Payroll'!$I:$I,'Base - Payroll'!$A:$A,Summary!$B46)</f>
        <v>3222133.8776988639</v>
      </c>
      <c r="H46" s="7" t="s">
        <v>5</v>
      </c>
      <c r="I46" s="12">
        <f>SUMIFS('Base - Payroll'!$E:$E,'Base - Payroll'!$A:$A,$H46,'Base - Payroll'!$B:$B,"  "&amp;$H$1)</f>
        <v>1954237.154718</v>
      </c>
      <c r="J46" s="12">
        <f>SUMIFS('Base - Payroll'!$G:$G,'Base - Payroll'!$A:$A,$H46,'Base - Payroll'!$B:$B,"  "&amp;$H$1)</f>
        <v>2037838.5011922885</v>
      </c>
      <c r="K46" s="12">
        <f>SUMIFS('Base - Payroll'!$H:$H,'Base - Payroll'!$A:$A,$H46,'Base - Payroll'!$B:$B,"  "&amp;$H$1)</f>
        <v>2037838.5011922885</v>
      </c>
      <c r="L46" s="12">
        <f>SUMIFS('Base - Payroll'!$I:$I,'Base - Payroll'!$A:$A,$H46,'Base - Payroll'!$B:$B,"  "&amp;$H$1)</f>
        <v>2037838.5011922885</v>
      </c>
      <c r="N46" s="7" t="s">
        <v>5</v>
      </c>
      <c r="O46" s="12">
        <f>SUMIFS('Base - Payroll'!$E:$E,'Base - Payroll'!$A:$A,$N46,'Base - Payroll'!$B:$B,"  "&amp;$N$1)</f>
        <v>321560.410248</v>
      </c>
      <c r="P46" s="12">
        <f>SUMIFS('Base - Payroll'!$G:$G,'Base - Payroll'!$A:$A,$N46,'Base - Payroll'!$B:$B,"  "&amp;$N$1)</f>
        <v>335188.5907856113</v>
      </c>
      <c r="Q46" s="12">
        <f>SUMIFS('Base - Payroll'!$H:$H,'Base - Payroll'!$A:$A,$N46,'Base - Payroll'!$B:$B,"  "&amp;$N$1)</f>
        <v>335188.5907856113</v>
      </c>
      <c r="R46" s="12">
        <f>SUMIFS('Base - Payroll'!$I:$I,'Base - Payroll'!$A:$A,$N46,'Base - Payroll'!$B:$B,"  "&amp;$N$1)</f>
        <v>335188.5907856113</v>
      </c>
      <c r="T46" s="7" t="s">
        <v>5</v>
      </c>
      <c r="U46" s="12">
        <f>SUMIFS('Base - Payroll'!$E:$E,'Base - Payroll'!$A:$A,$T46,'Base - Payroll'!$B:$B,"  "&amp;$T$1)</f>
        <v>769778.04229000001</v>
      </c>
      <c r="V46" s="12">
        <f>SUMIFS('Base - Payroll'!$G:$G,'Base - Payroll'!$A:$A,$T46,'Base - Payroll'!$B:$B,"  "&amp;$T$1)</f>
        <v>797872.73820213112</v>
      </c>
      <c r="W46" s="12">
        <f>SUMIFS('Base - Payroll'!$H:$H,'Base - Payroll'!$A:$A,$T46,'Base - Payroll'!$B:$B,"  "&amp;$T$1)</f>
        <v>797872.73820213112</v>
      </c>
      <c r="X46" s="12">
        <f>SUMIFS('Base - Payroll'!$I:$I,'Base - Payroll'!$A:$A,$T46,'Base - Payroll'!$B:$B,"  "&amp;$T$1)</f>
        <v>797872.73820213112</v>
      </c>
      <c r="Z46" s="7" t="s">
        <v>5</v>
      </c>
      <c r="AA46" s="12">
        <f>SUMIFS('Base - Payroll'!$E:$E,'Base - Payroll'!$A:$A,$Z46,'Base - Payroll'!$B:$B,"  "&amp;$Z$1)</f>
        <v>51187.428044</v>
      </c>
      <c r="AB46" s="12">
        <f>SUMIFS('Base - Payroll'!$G:$G,'Base - Payroll'!$A:$A,$Z46,'Base - Payroll'!$B:$B,"  "&amp;$Z$1)</f>
        <v>51234.047518832449</v>
      </c>
      <c r="AC46" s="12">
        <f>SUMIFS('Base - Payroll'!$H:$H,'Base - Payroll'!$A:$A,$Z46,'Base - Payroll'!$B:$B,"  "&amp;$Z$1)</f>
        <v>51234.047518832449</v>
      </c>
      <c r="AD46" s="12">
        <f>SUMIFS('Base - Payroll'!$I:$I,'Base - Payroll'!$A:$A,$Z46,'Base - Payroll'!$B:$B,"  "&amp;$Z$1)</f>
        <v>51234.047518832449</v>
      </c>
    </row>
    <row r="47" spans="2:30" outlineLevel="1" x14ac:dyDescent="0.35">
      <c r="B47" s="7" t="s">
        <v>6</v>
      </c>
      <c r="C47" s="12">
        <f>SUMIFS('Base - Payroll'!$E:$E,'Base - Payroll'!$A:$A,Summary!$B47)</f>
        <v>3960803.4771350003</v>
      </c>
      <c r="D47" s="12">
        <f>SUMIFS('Base - Payroll'!$G:$G,'Base - Payroll'!$A:$A,Summary!$B47)</f>
        <v>4121887.7664723257</v>
      </c>
      <c r="E47" s="12">
        <f>SUMIFS('Base - Payroll'!$H:$H,'Base - Payroll'!$A:$A,Summary!$B47)</f>
        <v>4121887.7664723257</v>
      </c>
      <c r="F47" s="12">
        <f>SUMIFS('Base - Payroll'!$I:$I,'Base - Payroll'!$A:$A,Summary!$B47)</f>
        <v>4121887.7664723257</v>
      </c>
      <c r="H47" s="7" t="s">
        <v>6</v>
      </c>
      <c r="I47" s="12">
        <f>SUMIFS('Base - Payroll'!$E:$E,'Base - Payroll'!$A:$A,$H47,'Base - Payroll'!$B:$B,"  "&amp;$H$1)</f>
        <v>2599950.9853790002</v>
      </c>
      <c r="J47" s="12">
        <f>SUMIFS('Base - Payroll'!$G:$G,'Base - Payroll'!$A:$A,$H47,'Base - Payroll'!$B:$B,"  "&amp;$H$1)</f>
        <v>2711175.665873934</v>
      </c>
      <c r="K47" s="12">
        <f>SUMIFS('Base - Payroll'!$H:$H,'Base - Payroll'!$A:$A,$H47,'Base - Payroll'!$B:$B,"  "&amp;$H$1)</f>
        <v>2711175.665873934</v>
      </c>
      <c r="L47" s="12">
        <f>SUMIFS('Base - Payroll'!$I:$I,'Base - Payroll'!$A:$A,$H47,'Base - Payroll'!$B:$B,"  "&amp;$H$1)</f>
        <v>2711175.665873934</v>
      </c>
      <c r="N47" s="7" t="s">
        <v>6</v>
      </c>
      <c r="O47" s="12">
        <f>SUMIFS('Base - Payroll'!$E:$E,'Base - Payroll'!$A:$A,$N47,'Base - Payroll'!$B:$B,"  "&amp;$N$1)</f>
        <v>426285.43291199999</v>
      </c>
      <c r="P47" s="12">
        <f>SUMIFS('Base - Payroll'!$G:$G,'Base - Payroll'!$A:$A,$N47,'Base - Payroll'!$B:$B,"  "&amp;$N$1)</f>
        <v>444352.00657944253</v>
      </c>
      <c r="Q47" s="12">
        <f>SUMIFS('Base - Payroll'!$H:$H,'Base - Payroll'!$A:$A,$N47,'Base - Payroll'!$B:$B,"  "&amp;$N$1)</f>
        <v>444352.00657944253</v>
      </c>
      <c r="R47" s="12">
        <f>SUMIFS('Base - Payroll'!$I:$I,'Base - Payroll'!$A:$A,$N47,'Base - Payroll'!$B:$B,"  "&amp;$N$1)</f>
        <v>444352.00657944253</v>
      </c>
      <c r="T47" s="7" t="s">
        <v>6</v>
      </c>
      <c r="U47" s="12">
        <f>SUMIFS('Base - Payroll'!$E:$E,'Base - Payroll'!$A:$A,$T47,'Base - Payroll'!$B:$B,"  "&amp;$T$1)</f>
        <v>869486.305391</v>
      </c>
      <c r="V47" s="12">
        <f>SUMIFS('Base - Payroll'!$G:$G,'Base - Payroll'!$A:$A,$T47,'Base - Payroll'!$B:$B,"  "&amp;$T$1)</f>
        <v>901220.06760257483</v>
      </c>
      <c r="W47" s="12">
        <f>SUMIFS('Base - Payroll'!$H:$H,'Base - Payroll'!$A:$A,$T47,'Base - Payroll'!$B:$B,"  "&amp;$T$1)</f>
        <v>901220.06760257483</v>
      </c>
      <c r="X47" s="12">
        <f>SUMIFS('Base - Payroll'!$I:$I,'Base - Payroll'!$A:$A,$T47,'Base - Payroll'!$B:$B,"  "&amp;$T$1)</f>
        <v>901220.06760257483</v>
      </c>
      <c r="Z47" s="7" t="s">
        <v>6</v>
      </c>
      <c r="AA47" s="12">
        <f>SUMIFS('Base - Payroll'!$E:$E,'Base - Payroll'!$A:$A,$Z47,'Base - Payroll'!$B:$B,"  "&amp;$Z$1)</f>
        <v>65080.753452999998</v>
      </c>
      <c r="AB47" s="12">
        <f>SUMIFS('Base - Payroll'!$G:$G,'Base - Payroll'!$A:$A,$Z47,'Base - Payroll'!$B:$B,"  "&amp;$Z$1)</f>
        <v>65140.026416374349</v>
      </c>
      <c r="AC47" s="12">
        <f>SUMIFS('Base - Payroll'!$H:$H,'Base - Payroll'!$A:$A,$Z47,'Base - Payroll'!$B:$B,"  "&amp;$Z$1)</f>
        <v>65140.026416374349</v>
      </c>
      <c r="AD47" s="12">
        <f>SUMIFS('Base - Payroll'!$I:$I,'Base - Payroll'!$A:$A,$Z47,'Base - Payroll'!$B:$B,"  "&amp;$Z$1)</f>
        <v>65140.026416374349</v>
      </c>
    </row>
    <row r="48" spans="2:30" s="1" customFormat="1" outlineLevel="1" x14ac:dyDescent="0.35">
      <c r="B48" s="7" t="s">
        <v>7</v>
      </c>
      <c r="C48" s="12">
        <f>SUMIFS('Base - Payroll'!$E:$E,'Base - Payroll'!$A:$A,Summary!$B48)</f>
        <v>173675.52426600002</v>
      </c>
      <c r="D48" s="12">
        <f>SUMIFS('Base - Payroll'!$G:$G,'Base - Payroll'!$A:$A,Summary!$B48)</f>
        <v>180708.8108063282</v>
      </c>
      <c r="E48" s="12">
        <f>SUMIFS('Base - Payroll'!$H:$H,'Base - Payroll'!$A:$A,Summary!$B48)</f>
        <v>180708.8108063282</v>
      </c>
      <c r="F48" s="12">
        <f>SUMIFS('Base - Payroll'!$I:$I,'Base - Payroll'!$A:$A,Summary!$B48)</f>
        <v>180708.8108063282</v>
      </c>
      <c r="H48" s="7" t="s">
        <v>7</v>
      </c>
      <c r="I48" s="12">
        <f>SUMIFS('Base - Payroll'!$E:$E,'Base - Payroll'!$A:$A,$H48,'Base - Payroll'!$B:$B,"  "&amp;$H$1)</f>
        <v>97547.456286000001</v>
      </c>
      <c r="J48" s="12">
        <f>SUMIFS('Base - Payroll'!$G:$G,'Base - Payroll'!$A:$A,$H48,'Base - Payroll'!$B:$B,"  "&amp;$H$1)</f>
        <v>101720.49059299954</v>
      </c>
      <c r="K48" s="12">
        <f>SUMIFS('Base - Payroll'!$H:$H,'Base - Payroll'!$A:$A,$H48,'Base - Payroll'!$B:$B,"  "&amp;$H$1)</f>
        <v>101720.49059299954</v>
      </c>
      <c r="L48" s="12">
        <f>SUMIFS('Base - Payroll'!$I:$I,'Base - Payroll'!$A:$A,$H48,'Base - Payroll'!$B:$B,"  "&amp;$H$1)</f>
        <v>101720.49059299954</v>
      </c>
      <c r="N48" s="7" t="s">
        <v>7</v>
      </c>
      <c r="O48" s="12">
        <f>SUMIFS('Base - Payroll'!$E:$E,'Base - Payroll'!$A:$A,$N48,'Base - Payroll'!$B:$B,"  "&amp;$N$1)</f>
        <v>13900.738125</v>
      </c>
      <c r="P48" s="12">
        <f>SUMIFS('Base - Payroll'!$G:$G,'Base - Payroll'!$A:$A,$N48,'Base - Payroll'!$B:$B,"  "&amp;$N$1)</f>
        <v>14489.870874978307</v>
      </c>
      <c r="Q48" s="12">
        <f>SUMIFS('Base - Payroll'!$H:$H,'Base - Payroll'!$A:$A,$N48,'Base - Payroll'!$B:$B,"  "&amp;$N$1)</f>
        <v>14489.870874978307</v>
      </c>
      <c r="R48" s="12">
        <f>SUMIFS('Base - Payroll'!$I:$I,'Base - Payroll'!$A:$A,$N48,'Base - Payroll'!$B:$B,"  "&amp;$N$1)</f>
        <v>14489.870874978307</v>
      </c>
      <c r="T48" s="7" t="s">
        <v>7</v>
      </c>
      <c r="U48" s="12">
        <f>SUMIFS('Base - Payroll'!$E:$E,'Base - Payroll'!$A:$A,$T48,'Base - Payroll'!$B:$B,"  "&amp;$T$1)</f>
        <v>62227.329855000004</v>
      </c>
      <c r="V48" s="12">
        <f>SUMIFS('Base - Payroll'!$G:$G,'Base - Payroll'!$A:$A,$T48,'Base - Payroll'!$B:$B,"  "&amp;$T$1)</f>
        <v>64498.449338350343</v>
      </c>
      <c r="W48" s="12">
        <f>SUMIFS('Base - Payroll'!$H:$H,'Base - Payroll'!$A:$A,$T48,'Base - Payroll'!$B:$B,"  "&amp;$T$1)</f>
        <v>64498.449338350343</v>
      </c>
      <c r="X48" s="12">
        <f>SUMIFS('Base - Payroll'!$I:$I,'Base - Payroll'!$A:$A,$T48,'Base - Payroll'!$B:$B,"  "&amp;$T$1)</f>
        <v>64498.449338350343</v>
      </c>
      <c r="Z48" s="7" t="s">
        <v>7</v>
      </c>
      <c r="AA48" s="12">
        <f>SUMIFS('Base - Payroll'!$E:$E,'Base - Payroll'!$A:$A,$Z48,'Base - Payroll'!$B:$B,"  "&amp;$Z$1)</f>
        <v>0</v>
      </c>
      <c r="AB48" s="12">
        <f>SUMIFS('Base - Payroll'!$G:$G,'Base - Payroll'!$A:$A,$Z48,'Base - Payroll'!$B:$B,"  "&amp;$Z$1)</f>
        <v>0</v>
      </c>
      <c r="AC48" s="12">
        <f>SUMIFS('Base - Payroll'!$H:$H,'Base - Payroll'!$A:$A,$Z48,'Base - Payroll'!$B:$B,"  "&amp;$Z$1)</f>
        <v>0</v>
      </c>
      <c r="AD48" s="12">
        <f>SUMIFS('Base - Payroll'!$I:$I,'Base - Payroll'!$A:$A,$Z48,'Base - Payroll'!$B:$B,"  "&amp;$Z$1)</f>
        <v>0</v>
      </c>
    </row>
    <row r="49" spans="2:30" outlineLevel="1" x14ac:dyDescent="0.35">
      <c r="B49" s="7" t="s">
        <v>8</v>
      </c>
      <c r="C49" s="12">
        <f>SUMIFS('Base - Payroll'!$E:$E,'Base - Payroll'!$A:$A,Summary!$B49)</f>
        <v>-421719.88604100002</v>
      </c>
      <c r="D49" s="12">
        <f>SUMIFS('Base - Payroll'!$G:$G,'Base - Payroll'!$A:$A,Summary!$B49)</f>
        <v>377.8970021457128</v>
      </c>
      <c r="E49" s="12">
        <f>SUMIFS('Base - Payroll'!$H:$H,'Base - Payroll'!$A:$A,Summary!$B49)</f>
        <v>377.8970021457128</v>
      </c>
      <c r="F49" s="12">
        <f>SUMIFS('Base - Payroll'!$I:$I,'Base - Payroll'!$A:$A,Summary!$B49)</f>
        <v>377.8970021457128</v>
      </c>
      <c r="H49" s="7" t="s">
        <v>8</v>
      </c>
      <c r="I49" s="12">
        <f>SUMIFS('Base - Payroll'!$E:$E,'Base - Payroll'!$A:$A,$H49,'Base - Payroll'!$B:$B,"  "&amp;$H$1)</f>
        <v>362.393959</v>
      </c>
      <c r="J49" s="12">
        <f>SUMIFS('Base - Payroll'!$G:$G,'Base - Payroll'!$A:$A,$H49,'Base - Payroll'!$B:$B,"  "&amp;$H$1)</f>
        <v>377.8970021457128</v>
      </c>
      <c r="K49" s="12">
        <f>SUMIFS('Base - Payroll'!$H:$H,'Base - Payroll'!$A:$A,$H49,'Base - Payroll'!$B:$B,"  "&amp;$H$1)</f>
        <v>377.8970021457128</v>
      </c>
      <c r="L49" s="12">
        <f>SUMIFS('Base - Payroll'!$I:$I,'Base - Payroll'!$A:$A,$H49,'Base - Payroll'!$B:$B,"  "&amp;$H$1)</f>
        <v>377.8970021457128</v>
      </c>
      <c r="N49" s="7" t="s">
        <v>8</v>
      </c>
      <c r="O49" s="12">
        <f>SUMIFS('Base - Payroll'!$E:$E,'Base - Payroll'!$A:$A,$N49,'Base - Payroll'!$B:$B,"  "&amp;$N$1)</f>
        <v>0</v>
      </c>
      <c r="P49" s="12">
        <f>SUMIFS('Base - Payroll'!$G:$G,'Base - Payroll'!$A:$A,$N49,'Base - Payroll'!$B:$B,"  "&amp;$N$1)</f>
        <v>0</v>
      </c>
      <c r="Q49" s="12">
        <f>SUMIFS('Base - Payroll'!$H:$H,'Base - Payroll'!$A:$A,$N49,'Base - Payroll'!$B:$B,"  "&amp;$N$1)</f>
        <v>0</v>
      </c>
      <c r="R49" s="12">
        <f>SUMIFS('Base - Payroll'!$I:$I,'Base - Payroll'!$A:$A,$N49,'Base - Payroll'!$B:$B,"  "&amp;$N$1)</f>
        <v>0</v>
      </c>
      <c r="T49" s="7" t="s">
        <v>8</v>
      </c>
      <c r="U49" s="12">
        <f>SUMIFS('Base - Payroll'!$E:$E,'Base - Payroll'!$A:$A,$T49,'Base - Payroll'!$B:$B,"  "&amp;$T$1)</f>
        <v>-422082.28</v>
      </c>
      <c r="V49" s="12">
        <f>SUMIFS('Base - Payroll'!$G:$G,'Base - Payroll'!$A:$A,$T49,'Base - Payroll'!$B:$B,"  "&amp;$T$1)</f>
        <v>0</v>
      </c>
      <c r="W49" s="12">
        <f>SUMIFS('Base - Payroll'!$H:$H,'Base - Payroll'!$A:$A,$T49,'Base - Payroll'!$B:$B,"  "&amp;$T$1)</f>
        <v>0</v>
      </c>
      <c r="X49" s="12">
        <f>SUMIFS('Base - Payroll'!$I:$I,'Base - Payroll'!$A:$A,$T49,'Base - Payroll'!$B:$B,"  "&amp;$T$1)</f>
        <v>0</v>
      </c>
      <c r="Z49" s="7" t="s">
        <v>8</v>
      </c>
      <c r="AA49" s="12">
        <f>SUMIFS('Base - Payroll'!$E:$E,'Base - Payroll'!$A:$A,$Z49,'Base - Payroll'!$B:$B,"  "&amp;$Z$1)</f>
        <v>0</v>
      </c>
      <c r="AB49" s="12">
        <f>SUMIFS('Base - Payroll'!$G:$G,'Base - Payroll'!$A:$A,$Z49,'Base - Payroll'!$B:$B,"  "&amp;$Z$1)</f>
        <v>0</v>
      </c>
      <c r="AC49" s="12">
        <f>SUMIFS('Base - Payroll'!$H:$H,'Base - Payroll'!$A:$A,$Z49,'Base - Payroll'!$B:$B,"  "&amp;$Z$1)</f>
        <v>0</v>
      </c>
      <c r="AD49" s="12">
        <f>SUMIFS('Base - Payroll'!$I:$I,'Base - Payroll'!$A:$A,$Z49,'Base - Payroll'!$B:$B,"  "&amp;$Z$1)</f>
        <v>0</v>
      </c>
    </row>
    <row r="50" spans="2:30" outlineLevel="1" x14ac:dyDescent="0.35">
      <c r="B50" s="7" t="s">
        <v>9</v>
      </c>
      <c r="C50" s="12">
        <f>SUMIFS('Base - Non-Payroll'!$E:$E,'Base - Non-Payroll'!$A:$A,Summary!$B50)</f>
        <v>1899752.5799700001</v>
      </c>
      <c r="D50" s="12">
        <f>SUMIFS('Base - Non-Payroll'!$H:$H,'Base - Non-Payroll'!$A:$A,Summary!$B50)</f>
        <v>1899752.5799700001</v>
      </c>
      <c r="E50" s="12">
        <f>SUMIFS('Base - Non-Payroll'!$J:$J,'Base - Non-Payroll'!$A:$A,Summary!$B50)</f>
        <v>1899752.5799700001</v>
      </c>
      <c r="F50" s="12">
        <f>SUMIFS('Base - Non-Payroll'!$L:$L,'Base - Non-Payroll'!$A:$A,Summary!$B50)</f>
        <v>1899752.5799700001</v>
      </c>
      <c r="H50" s="7" t="s">
        <v>9</v>
      </c>
      <c r="I50" s="12">
        <f>SUMIFS('Base - Non-Payroll'!$E:$E,'Base - Non-Payroll'!$A:$A,$H50,'Base - Non-Payroll'!$B:$B,"  "&amp;$H$1)</f>
        <v>1359752.5799700001</v>
      </c>
      <c r="J50" s="12">
        <f>SUMIFS('Base - Non-Payroll'!$H:$H,'Base - Non-Payroll'!$A:$A,$H50,'Base - Non-Payroll'!$B:$B,"  "&amp;$H$1)</f>
        <v>1359752.5799700001</v>
      </c>
      <c r="K50" s="12">
        <f>SUMIFS('Base - Non-Payroll'!$J:$J,'Base - Non-Payroll'!$A:$A,$H50,'Base - Non-Payroll'!$B:$B,"  "&amp;$H$1)</f>
        <v>1359752.5799700001</v>
      </c>
      <c r="L50" s="12">
        <f>SUMIFS('Base - Non-Payroll'!$L:$L,'Base - Non-Payroll'!$A:$A,$H50,'Base - Non-Payroll'!$B:$B,"  "&amp;$H$1)</f>
        <v>1359752.5799700001</v>
      </c>
      <c r="N50" s="7" t="s">
        <v>9</v>
      </c>
      <c r="O50" s="12">
        <f>SUMIFS('Base - Non-Payroll'!$E:$E,'Base - Non-Payroll'!$A:$A,$N50,'Base - Non-Payroll'!$B:$B,"  "&amp;$N$1)</f>
        <v>0</v>
      </c>
      <c r="P50" s="12">
        <f>SUMIFS('Base - Non-Payroll'!$H:$H,'Base - Non-Payroll'!$A:$A,$N50,'Base - Non-Payroll'!$B:$B,"  "&amp;$N$1)</f>
        <v>0</v>
      </c>
      <c r="Q50" s="12">
        <f>SUMIFS('Base - Non-Payroll'!$J:$J,'Base - Non-Payroll'!$A:$A,$N50,'Base - Non-Payroll'!$B:$B,"  "&amp;$N$1)</f>
        <v>0</v>
      </c>
      <c r="R50" s="12">
        <f>SUMIFS('Base - Non-Payroll'!$L:$L,'Base - Non-Payroll'!$A:$A,$N50,'Base - Non-Payroll'!$B:$B,"  "&amp;$N$1)</f>
        <v>0</v>
      </c>
      <c r="T50" s="7" t="s">
        <v>9</v>
      </c>
      <c r="U50" s="12">
        <f>SUMIFS('Base - Non-Payroll'!$E:$E,'Base - Non-Payroll'!$A:$A,$T50,'Base - Non-Payroll'!$B:$B,"  "&amp;$T$1)</f>
        <v>540000</v>
      </c>
      <c r="V50" s="12">
        <f>SUMIFS('Base - Non-Payroll'!$H:$H,'Base - Non-Payroll'!$A:$A,$T50,'Base - Non-Payroll'!$B:$B,"  "&amp;$T$1)</f>
        <v>540000</v>
      </c>
      <c r="W50" s="12">
        <f>SUMIFS('Base - Non-Payroll'!$J:$J,'Base - Non-Payroll'!$A:$A,$T50,'Base - Non-Payroll'!$B:$B,"  "&amp;$T$1)</f>
        <v>540000</v>
      </c>
      <c r="X50" s="12">
        <f>SUMIFS('Base - Non-Payroll'!$L:$L,'Base - Non-Payroll'!$A:$A,$T50,'Base - Non-Payroll'!$B:$B,"  "&amp;$T$1)</f>
        <v>540000</v>
      </c>
      <c r="Z50" s="7" t="s">
        <v>9</v>
      </c>
      <c r="AA50" s="12">
        <f>SUMIFS('Base - Non-Payroll'!$E:$E,'Base - Non-Payroll'!$A:$A,$Z50,'Base - Non-Payroll'!$B:$B,"  "&amp;$Z$1)</f>
        <v>0</v>
      </c>
      <c r="AB50" s="12">
        <f>SUMIFS('Base - Non-Payroll'!$H:$H,'Base - Non-Payroll'!$A:$A,$Z50,'Base - Non-Payroll'!$B:$B,"  "&amp;$Z$1)</f>
        <v>0</v>
      </c>
      <c r="AC50" s="12">
        <f>SUMIFS('Base - Non-Payroll'!$J:$J,'Base - Non-Payroll'!$A:$A,$Z50,'Base - Non-Payroll'!$B:$B,"  "&amp;$Z$1)</f>
        <v>0</v>
      </c>
      <c r="AD50" s="12">
        <f>SUMIFS('Base - Non-Payroll'!$L:$L,'Base - Non-Payroll'!$A:$A,$Z50,'Base - Non-Payroll'!$B:$B,"  "&amp;$Z$1)</f>
        <v>0</v>
      </c>
    </row>
    <row r="51" spans="2:30" outlineLevel="1" x14ac:dyDescent="0.35">
      <c r="B51" s="7" t="s">
        <v>10</v>
      </c>
      <c r="C51" s="12">
        <f>SUMIFS('Base - Payroll'!$E:$E,'Base - Payroll'!$A:$A,Summary!$B51)</f>
        <v>3602361.0700000003</v>
      </c>
      <c r="D51" s="12">
        <f>SUMIFS('Base - Payroll'!$G:$G,'Base - Payroll'!$A:$A,Summary!$B51)</f>
        <v>3903500.7922608694</v>
      </c>
      <c r="E51" s="12">
        <f>SUMIFS('Base - Payroll'!$H:$H,'Base - Payroll'!$A:$A,Summary!$B51)</f>
        <v>3903500.7922608694</v>
      </c>
      <c r="F51" s="12">
        <f>SUMIFS('Base - Payroll'!$I:$I,'Base - Payroll'!$A:$A,Summary!$B51)</f>
        <v>3903500.7922608694</v>
      </c>
      <c r="H51" s="7" t="s">
        <v>10</v>
      </c>
      <c r="I51" s="12">
        <f>SUMIFS('Base - Payroll'!$E:$E,'Base - Payroll'!$A:$A,$H51,'Base - Payroll'!$B:$B,"  "&amp;$H$1)</f>
        <v>1203507.6000000001</v>
      </c>
      <c r="J51" s="12">
        <f>SUMIFS('Base - Payroll'!$G:$G,'Base - Payroll'!$A:$A,$H51,'Base - Payroll'!$B:$B,"  "&amp;$H$1)</f>
        <v>1373047.5550431586</v>
      </c>
      <c r="K51" s="12">
        <f>SUMIFS('Base - Payroll'!$H:$H,'Base - Payroll'!$A:$A,$H51,'Base - Payroll'!$B:$B,"  "&amp;$H$1)</f>
        <v>1373047.5550431586</v>
      </c>
      <c r="L51" s="12">
        <f>SUMIFS('Base - Payroll'!$I:$I,'Base - Payroll'!$A:$A,$H51,'Base - Payroll'!$B:$B,"  "&amp;$H$1)</f>
        <v>1373047.5550431586</v>
      </c>
      <c r="N51" s="7" t="s">
        <v>10</v>
      </c>
      <c r="O51" s="12">
        <f>SUMIFS('Base - Payroll'!$E:$E,'Base - Payroll'!$A:$A,$N51,'Base - Payroll'!$B:$B,"  "&amp;$N$1)</f>
        <v>339126.66</v>
      </c>
      <c r="P51" s="12">
        <f>SUMIFS('Base - Payroll'!$G:$G,'Base - Payroll'!$A:$A,$N51,'Base - Payroll'!$B:$B,"  "&amp;$N$1)</f>
        <v>456329.39962376736</v>
      </c>
      <c r="Q51" s="12">
        <f>SUMIFS('Base - Payroll'!$H:$H,'Base - Payroll'!$A:$A,$N51,'Base - Payroll'!$B:$B,"  "&amp;$N$1)</f>
        <v>456329.39962376736</v>
      </c>
      <c r="R51" s="12">
        <f>SUMIFS('Base - Payroll'!$I:$I,'Base - Payroll'!$A:$A,$N51,'Base - Payroll'!$B:$B,"  "&amp;$N$1)</f>
        <v>456329.39962376736</v>
      </c>
      <c r="T51" s="7" t="s">
        <v>10</v>
      </c>
      <c r="U51" s="12">
        <f>SUMIFS('Base - Payroll'!$E:$E,'Base - Payroll'!$A:$A,$T51,'Base - Payroll'!$B:$B,"  "&amp;$T$1)</f>
        <v>351851.21</v>
      </c>
      <c r="V51" s="12">
        <f>SUMIFS('Base - Payroll'!$G:$G,'Base - Payroll'!$A:$A,$T51,'Base - Payroll'!$B:$B,"  "&amp;$T$1)</f>
        <v>364692.77238317503</v>
      </c>
      <c r="W51" s="12">
        <f>SUMIFS('Base - Payroll'!$H:$H,'Base - Payroll'!$A:$A,$T51,'Base - Payroll'!$B:$B,"  "&amp;$T$1)</f>
        <v>364692.77238317503</v>
      </c>
      <c r="X51" s="12">
        <f>SUMIFS('Base - Payroll'!$I:$I,'Base - Payroll'!$A:$A,$T51,'Base - Payroll'!$B:$B,"  "&amp;$T$1)</f>
        <v>364692.77238317503</v>
      </c>
      <c r="Z51" s="7" t="s">
        <v>10</v>
      </c>
      <c r="AA51" s="12">
        <f>SUMIFS('Base - Payroll'!$E:$E,'Base - Payroll'!$A:$A,$Z51,'Base - Payroll'!$B:$B,"  "&amp;$Z$1)</f>
        <v>1707875.6</v>
      </c>
      <c r="AB51" s="12">
        <f>SUMIFS('Base - Payroll'!$G:$G,'Base - Payroll'!$A:$A,$Z51,'Base - Payroll'!$B:$B,"  "&amp;$Z$1)</f>
        <v>1709431.0652107685</v>
      </c>
      <c r="AC51" s="12">
        <f>SUMIFS('Base - Payroll'!$H:$H,'Base - Payroll'!$A:$A,$Z51,'Base - Payroll'!$B:$B,"  "&amp;$Z$1)</f>
        <v>1709431.0652107685</v>
      </c>
      <c r="AD51" s="12">
        <f>SUMIFS('Base - Payroll'!$I:$I,'Base - Payroll'!$A:$A,$Z51,'Base - Payroll'!$B:$B,"  "&amp;$Z$1)</f>
        <v>1709431.0652107685</v>
      </c>
    </row>
    <row r="52" spans="2:30" x14ac:dyDescent="0.35">
      <c r="B52" s="9" t="s">
        <v>34</v>
      </c>
      <c r="C52" s="13">
        <f>SUM(C43:C51)</f>
        <v>48395278.090300001</v>
      </c>
      <c r="D52" s="13">
        <f>SUM(D43:D51)</f>
        <v>50770674.175280571</v>
      </c>
      <c r="E52" s="13">
        <f>SUM(E43:E51)</f>
        <v>50770674.175280571</v>
      </c>
      <c r="F52" s="13">
        <f>SUM(F43:F51)</f>
        <v>50770674.175280571</v>
      </c>
      <c r="H52" s="9" t="s">
        <v>34</v>
      </c>
      <c r="I52" s="13">
        <f>SUM(I43:I51)</f>
        <v>29499175.957741998</v>
      </c>
      <c r="J52" s="13">
        <f>SUM(J43:J51)</f>
        <v>30783520.295512561</v>
      </c>
      <c r="K52" s="13">
        <f>SUM(K43:K51)</f>
        <v>30783520.295512561</v>
      </c>
      <c r="L52" s="13">
        <f>SUM(L43:L51)</f>
        <v>30783520.295512561</v>
      </c>
      <c r="N52" s="9" t="s">
        <v>34</v>
      </c>
      <c r="O52" s="13">
        <f>SUM(O43:O51)</f>
        <v>4892825.212216001</v>
      </c>
      <c r="P52" s="13">
        <f>SUM(P43:P51)</f>
        <v>5203020.0740217147</v>
      </c>
      <c r="Q52" s="13">
        <f>SUM(Q43:Q51)</f>
        <v>5203020.0740217147</v>
      </c>
      <c r="R52" s="13">
        <f>SUM(R43:R51)</f>
        <v>5203020.0740217147</v>
      </c>
      <c r="T52" s="9" t="s">
        <v>34</v>
      </c>
      <c r="U52" s="13">
        <f>SUM(U43:U51)</f>
        <v>10263481.221085003</v>
      </c>
      <c r="V52" s="13">
        <f>SUM(V43:V51)</f>
        <v>11040932.049218163</v>
      </c>
      <c r="W52" s="13">
        <f>SUM(W43:W51)</f>
        <v>11040932.049218163</v>
      </c>
      <c r="X52" s="13">
        <f>SUM(X43:X51)</f>
        <v>11040932.049218163</v>
      </c>
      <c r="Z52" s="9" t="s">
        <v>34</v>
      </c>
      <c r="AA52" s="13">
        <f>SUM(AA43:AA51)</f>
        <v>3739795.6992570003</v>
      </c>
      <c r="AB52" s="13">
        <f>SUM(AB43:AB51)</f>
        <v>3743201.7565281363</v>
      </c>
      <c r="AC52" s="13">
        <f>SUM(AC43:AC51)</f>
        <v>3743201.7565281363</v>
      </c>
      <c r="AD52" s="13">
        <f>SUM(AD43:AD51)</f>
        <v>3743201.7565281363</v>
      </c>
    </row>
    <row r="53" spans="2:30" x14ac:dyDescent="0.35">
      <c r="B53" s="7"/>
      <c r="C53" s="14"/>
      <c r="D53" s="14"/>
      <c r="E53" s="14"/>
      <c r="F53" s="14"/>
      <c r="H53" s="7"/>
      <c r="I53" s="14"/>
      <c r="J53" s="14"/>
      <c r="K53" s="14"/>
      <c r="L53" s="14"/>
      <c r="N53" s="7"/>
      <c r="O53" s="14"/>
      <c r="P53" s="14"/>
      <c r="Q53" s="14"/>
      <c r="R53" s="14"/>
      <c r="T53" s="7"/>
      <c r="U53" s="14"/>
      <c r="V53" s="14"/>
      <c r="W53" s="14"/>
      <c r="X53" s="14"/>
      <c r="Z53" s="7"/>
      <c r="AA53" s="14"/>
      <c r="AB53" s="14"/>
      <c r="AC53" s="14"/>
      <c r="AD53" s="14"/>
    </row>
    <row r="54" spans="2:30" outlineLevel="1" x14ac:dyDescent="0.35">
      <c r="B54" s="7" t="s">
        <v>12</v>
      </c>
      <c r="C54" s="12">
        <f>SUMIFS('Base - Non-Payroll'!$E:$E,'Base - Non-Payroll'!$A:$A,Summary!$B54)</f>
        <v>7181209.4899770003</v>
      </c>
      <c r="D54" s="12">
        <f>SUMIFS('Base - Non-Payroll'!$H:$H,'Base - Non-Payroll'!$A:$A,Summary!$B54)</f>
        <v>7181209.4899770003</v>
      </c>
      <c r="E54" s="12">
        <f>SUMIFS('Base - Non-Payroll'!$J:$J,'Base - Non-Payroll'!$A:$A,Summary!$B54)</f>
        <v>7181209.4899770003</v>
      </c>
      <c r="F54" s="12">
        <f>SUMIFS('Base - Non-Payroll'!$L:$L,'Base - Non-Payroll'!$A:$A,Summary!$B54)</f>
        <v>7181209.4899770003</v>
      </c>
      <c r="H54" s="7" t="s">
        <v>12</v>
      </c>
      <c r="I54" s="12">
        <f>SUMIFS('Base - Non-Payroll'!$E:$E,'Base - Non-Payroll'!$A:$A,$H54,'Base - Non-Payroll'!$B:$B,"  "&amp;$H$1)</f>
        <v>1689705.429977</v>
      </c>
      <c r="J54" s="12">
        <f>SUMIFS('Base - Non-Payroll'!$H:$H,'Base - Non-Payroll'!$A:$A,$H54,'Base - Non-Payroll'!$B:$B,"  "&amp;$H$1)</f>
        <v>1689705.429977</v>
      </c>
      <c r="K54" s="12">
        <f>SUMIFS('Base - Non-Payroll'!$J:$J,'Base - Non-Payroll'!$A:$A,$H54,'Base - Non-Payroll'!$B:$B,"  "&amp;$H$1)</f>
        <v>1689705.429977</v>
      </c>
      <c r="L54" s="12">
        <f>SUMIFS('Base - Non-Payroll'!$L:$L,'Base - Non-Payroll'!$A:$A,$H54,'Base - Non-Payroll'!$B:$B,"  "&amp;$H$1)</f>
        <v>1689705.429977</v>
      </c>
      <c r="N54" s="7" t="s">
        <v>12</v>
      </c>
      <c r="O54" s="12">
        <f>SUMIFS('Base - Non-Payroll'!$E:$E,'Base - Non-Payroll'!$A:$A,$N54,'Base - Non-Payroll'!$B:$B,"  "&amp;$N$1)</f>
        <v>769992</v>
      </c>
      <c r="P54" s="12">
        <f>SUMIFS('Base - Non-Payroll'!$H:$H,'Base - Non-Payroll'!$A:$A,$N54,'Base - Non-Payroll'!$B:$B,"  "&amp;$N$1)</f>
        <v>769992</v>
      </c>
      <c r="Q54" s="12">
        <f>SUMIFS('Base - Non-Payroll'!$J:$J,'Base - Non-Payroll'!$A:$A,$N54,'Base - Non-Payroll'!$B:$B,"  "&amp;$N$1)</f>
        <v>769992</v>
      </c>
      <c r="R54" s="12">
        <f>SUMIFS('Base - Non-Payroll'!$L:$L,'Base - Non-Payroll'!$A:$A,$N54,'Base - Non-Payroll'!$B:$B,"  "&amp;$N$1)</f>
        <v>769992</v>
      </c>
      <c r="T54" s="7" t="s">
        <v>12</v>
      </c>
      <c r="U54" s="12">
        <f>SUMIFS('Base - Non-Payroll'!$E:$E,'Base - Non-Payroll'!$A:$A,$T54,'Base - Non-Payroll'!$B:$B,"  "&amp;$T$1)</f>
        <v>4361510.7300000004</v>
      </c>
      <c r="V54" s="12">
        <f>SUMIFS('Base - Non-Payroll'!$H:$H,'Base - Non-Payroll'!$A:$A,$T54,'Base - Non-Payroll'!$B:$B,"  "&amp;$T$1)</f>
        <v>4361510.7300000004</v>
      </c>
      <c r="W54" s="12">
        <f>SUMIFS('Base - Non-Payroll'!$J:$J,'Base - Non-Payroll'!$A:$A,$T54,'Base - Non-Payroll'!$B:$B,"  "&amp;$T$1)</f>
        <v>4361510.7300000004</v>
      </c>
      <c r="X54" s="12">
        <f>SUMIFS('Base - Non-Payroll'!$L:$L,'Base - Non-Payroll'!$A:$A,$T54,'Base - Non-Payroll'!$B:$B,"  "&amp;$T$1)</f>
        <v>4361510.7300000004</v>
      </c>
      <c r="Z54" s="7" t="s">
        <v>12</v>
      </c>
      <c r="AA54" s="12">
        <f>SUMIFS('Base - Non-Payroll'!$E:$E,'Base - Non-Payroll'!$A:$A,$Z54,'Base - Non-Payroll'!$B:$B,"  "&amp;$Z$1)</f>
        <v>360001.33</v>
      </c>
      <c r="AB54" s="12">
        <f>SUMIFS('Base - Non-Payroll'!$H:$H,'Base - Non-Payroll'!$A:$A,$Z54,'Base - Non-Payroll'!$B:$B,"  "&amp;$Z$1)</f>
        <v>360001.33</v>
      </c>
      <c r="AC54" s="12">
        <f>SUMIFS('Base - Non-Payroll'!$J:$J,'Base - Non-Payroll'!$A:$A,$Z54,'Base - Non-Payroll'!$B:$B,"  "&amp;$Z$1)</f>
        <v>360001.33</v>
      </c>
      <c r="AD54" s="12">
        <f>SUMIFS('Base - Non-Payroll'!$L:$L,'Base - Non-Payroll'!$A:$A,$Z54,'Base - Non-Payroll'!$B:$B,"  "&amp;$Z$1)</f>
        <v>360001.33</v>
      </c>
    </row>
    <row r="55" spans="2:30" outlineLevel="1" x14ac:dyDescent="0.35">
      <c r="B55" s="7" t="s">
        <v>13</v>
      </c>
      <c r="C55" s="12">
        <f>SUMIFS('Base - Non-Payroll'!$E:$E,'Base - Non-Payroll'!$A:$A,Summary!$B55)</f>
        <v>100003.169997</v>
      </c>
      <c r="D55" s="12">
        <f>SUMIFS('Base - Non-Payroll'!$H:$H,'Base - Non-Payroll'!$A:$A,Summary!$B55)</f>
        <v>100003.169997</v>
      </c>
      <c r="E55" s="12">
        <f>SUMIFS('Base - Non-Payroll'!$J:$J,'Base - Non-Payroll'!$A:$A,Summary!$B55)</f>
        <v>100003.169997</v>
      </c>
      <c r="F55" s="12">
        <f>SUMIFS('Base - Non-Payroll'!$L:$L,'Base - Non-Payroll'!$A:$A,Summary!$B55)</f>
        <v>100003.169997</v>
      </c>
      <c r="H55" s="7" t="s">
        <v>13</v>
      </c>
      <c r="I55" s="12">
        <f>SUMIFS('Base - Non-Payroll'!$E:$E,'Base - Non-Payroll'!$A:$A,$H55,'Base - Non-Payroll'!$B:$B,"  "&amp;$H$1)</f>
        <v>100001.27999700001</v>
      </c>
      <c r="J55" s="12">
        <f>SUMIFS('Base - Non-Payroll'!$H:$H,'Base - Non-Payroll'!$A:$A,$H55,'Base - Non-Payroll'!$B:$B,"  "&amp;$H$1)</f>
        <v>100001.27999700001</v>
      </c>
      <c r="K55" s="12">
        <f>SUMIFS('Base - Non-Payroll'!$J:$J,'Base - Non-Payroll'!$A:$A,$H55,'Base - Non-Payroll'!$B:$B,"  "&amp;$H$1)</f>
        <v>100001.27999700001</v>
      </c>
      <c r="L55" s="12">
        <f>SUMIFS('Base - Non-Payroll'!$L:$L,'Base - Non-Payroll'!$A:$A,$H55,'Base - Non-Payroll'!$B:$B,"  "&amp;$H$1)</f>
        <v>100001.27999700001</v>
      </c>
      <c r="N55" s="7" t="s">
        <v>13</v>
      </c>
      <c r="O55" s="12">
        <f>SUMIFS('Base - Non-Payroll'!$E:$E,'Base - Non-Payroll'!$A:$A,$N55,'Base - Non-Payroll'!$B:$B,"  "&amp;$N$1)</f>
        <v>0</v>
      </c>
      <c r="P55" s="12">
        <f>SUMIFS('Base - Non-Payroll'!$H:$H,'Base - Non-Payroll'!$A:$A,$N55,'Base - Non-Payroll'!$B:$B,"  "&amp;$N$1)</f>
        <v>0</v>
      </c>
      <c r="Q55" s="12">
        <f>SUMIFS('Base - Non-Payroll'!$J:$J,'Base - Non-Payroll'!$A:$A,$N55,'Base - Non-Payroll'!$B:$B,"  "&amp;$N$1)</f>
        <v>0</v>
      </c>
      <c r="R55" s="12">
        <f>SUMIFS('Base - Non-Payroll'!$L:$L,'Base - Non-Payroll'!$A:$A,$N55,'Base - Non-Payroll'!$B:$B,"  "&amp;$N$1)</f>
        <v>0</v>
      </c>
      <c r="T55" s="7" t="s">
        <v>13</v>
      </c>
      <c r="U55" s="12">
        <f>SUMIFS('Base - Non-Payroll'!$E:$E,'Base - Non-Payroll'!$A:$A,$T55,'Base - Non-Payroll'!$B:$B,"  "&amp;$T$1)</f>
        <v>1.89</v>
      </c>
      <c r="V55" s="12">
        <f>SUMIFS('Base - Non-Payroll'!$H:$H,'Base - Non-Payroll'!$A:$A,$T55,'Base - Non-Payroll'!$B:$B,"  "&amp;$T$1)</f>
        <v>1.89</v>
      </c>
      <c r="W55" s="12">
        <f>SUMIFS('Base - Non-Payroll'!$J:$J,'Base - Non-Payroll'!$A:$A,$T55,'Base - Non-Payroll'!$B:$B,"  "&amp;$T$1)</f>
        <v>1.89</v>
      </c>
      <c r="X55" s="12">
        <f>SUMIFS('Base - Non-Payroll'!$L:$L,'Base - Non-Payroll'!$A:$A,$T55,'Base - Non-Payroll'!$B:$B,"  "&amp;$T$1)</f>
        <v>1.89</v>
      </c>
      <c r="Z55" s="7" t="s">
        <v>13</v>
      </c>
      <c r="AA55" s="12">
        <f>SUMIFS('Base - Non-Payroll'!$E:$E,'Base - Non-Payroll'!$A:$A,$Z55,'Base - Non-Payroll'!$B:$B,"  "&amp;$Z$1)</f>
        <v>0</v>
      </c>
      <c r="AB55" s="12">
        <f>SUMIFS('Base - Non-Payroll'!$H:$H,'Base - Non-Payroll'!$A:$A,$Z55,'Base - Non-Payroll'!$B:$B,"  "&amp;$Z$1)</f>
        <v>0</v>
      </c>
      <c r="AC55" s="12">
        <f>SUMIFS('Base - Non-Payroll'!$J:$J,'Base - Non-Payroll'!$A:$A,$Z55,'Base - Non-Payroll'!$B:$B,"  "&amp;$Z$1)</f>
        <v>0</v>
      </c>
      <c r="AD55" s="12">
        <f>SUMIFS('Base - Non-Payroll'!$L:$L,'Base - Non-Payroll'!$A:$A,$Z55,'Base - Non-Payroll'!$B:$B,"  "&amp;$Z$1)</f>
        <v>0</v>
      </c>
    </row>
    <row r="56" spans="2:30" outlineLevel="1" x14ac:dyDescent="0.35">
      <c r="B56" s="7" t="s">
        <v>14</v>
      </c>
      <c r="C56" s="12">
        <f>SUMIFS('Base - Non-Payroll'!$E:$E,'Base - Non-Payroll'!$A:$A,Summary!$B56)</f>
        <v>6598.26</v>
      </c>
      <c r="D56" s="12">
        <f>SUMIFS('Base - Non-Payroll'!$H:$H,'Base - Non-Payroll'!$A:$A,Summary!$B56)</f>
        <v>6598.26</v>
      </c>
      <c r="E56" s="12">
        <f>SUMIFS('Base - Non-Payroll'!$J:$J,'Base - Non-Payroll'!$A:$A,Summary!$B56)</f>
        <v>6598.26</v>
      </c>
      <c r="F56" s="12">
        <f>SUMIFS('Base - Non-Payroll'!$L:$L,'Base - Non-Payroll'!$A:$A,Summary!$B56)</f>
        <v>6598.26</v>
      </c>
      <c r="H56" s="7" t="s">
        <v>14</v>
      </c>
      <c r="I56" s="12">
        <f>SUMIFS('Base - Non-Payroll'!$E:$E,'Base - Non-Payroll'!$A:$A,$H56,'Base - Non-Payroll'!$B:$B,"  "&amp;$H$1)</f>
        <v>1596.31</v>
      </c>
      <c r="J56" s="12">
        <f>SUMIFS('Base - Non-Payroll'!$H:$H,'Base - Non-Payroll'!$A:$A,$H56,'Base - Non-Payroll'!$B:$B,"  "&amp;$H$1)</f>
        <v>1596.31</v>
      </c>
      <c r="K56" s="12">
        <f>SUMIFS('Base - Non-Payroll'!$J:$J,'Base - Non-Payroll'!$A:$A,$H56,'Base - Non-Payroll'!$B:$B,"  "&amp;$H$1)</f>
        <v>1596.31</v>
      </c>
      <c r="L56" s="12">
        <f>SUMIFS('Base - Non-Payroll'!$L:$L,'Base - Non-Payroll'!$A:$A,$H56,'Base - Non-Payroll'!$B:$B,"  "&amp;$H$1)</f>
        <v>1596.31</v>
      </c>
      <c r="N56" s="7" t="s">
        <v>14</v>
      </c>
      <c r="O56" s="12">
        <f>SUMIFS('Base - Non-Payroll'!$E:$E,'Base - Non-Payroll'!$A:$A,$N56,'Base - Non-Payroll'!$B:$B,"  "&amp;$N$1)</f>
        <v>-2.04</v>
      </c>
      <c r="P56" s="12">
        <f>SUMIFS('Base - Non-Payroll'!$H:$H,'Base - Non-Payroll'!$A:$A,$N56,'Base - Non-Payroll'!$B:$B,"  "&amp;$N$1)</f>
        <v>-2.04</v>
      </c>
      <c r="Q56" s="12">
        <f>SUMIFS('Base - Non-Payroll'!$J:$J,'Base - Non-Payroll'!$A:$A,$N56,'Base - Non-Payroll'!$B:$B,"  "&amp;$N$1)</f>
        <v>-2.04</v>
      </c>
      <c r="R56" s="12">
        <f>SUMIFS('Base - Non-Payroll'!$L:$L,'Base - Non-Payroll'!$A:$A,$N56,'Base - Non-Payroll'!$B:$B,"  "&amp;$N$1)</f>
        <v>-2.04</v>
      </c>
      <c r="T56" s="7" t="s">
        <v>14</v>
      </c>
      <c r="U56" s="12">
        <f>SUMIFS('Base - Non-Payroll'!$E:$E,'Base - Non-Payroll'!$A:$A,$T56,'Base - Non-Payroll'!$B:$B,"  "&amp;$T$1)</f>
        <v>5007.59</v>
      </c>
      <c r="V56" s="12">
        <f>SUMIFS('Base - Non-Payroll'!$H:$H,'Base - Non-Payroll'!$A:$A,$T56,'Base - Non-Payroll'!$B:$B,"  "&amp;$T$1)</f>
        <v>5007.59</v>
      </c>
      <c r="W56" s="12">
        <f>SUMIFS('Base - Non-Payroll'!$J:$J,'Base - Non-Payroll'!$A:$A,$T56,'Base - Non-Payroll'!$B:$B,"  "&amp;$T$1)</f>
        <v>5007.59</v>
      </c>
      <c r="X56" s="12">
        <f>SUMIFS('Base - Non-Payroll'!$L:$L,'Base - Non-Payroll'!$A:$A,$T56,'Base - Non-Payroll'!$B:$B,"  "&amp;$T$1)</f>
        <v>5007.59</v>
      </c>
      <c r="Z56" s="7" t="s">
        <v>14</v>
      </c>
      <c r="AA56" s="12">
        <f>SUMIFS('Base - Non-Payroll'!$E:$E,'Base - Non-Payroll'!$A:$A,$Z56,'Base - Non-Payroll'!$B:$B,"  "&amp;$Z$1)</f>
        <v>-3.6</v>
      </c>
      <c r="AB56" s="12">
        <f>SUMIFS('Base - Non-Payroll'!$H:$H,'Base - Non-Payroll'!$A:$A,$Z56,'Base - Non-Payroll'!$B:$B,"  "&amp;$Z$1)</f>
        <v>-3.6</v>
      </c>
      <c r="AC56" s="12">
        <f>SUMIFS('Base - Non-Payroll'!$J:$J,'Base - Non-Payroll'!$A:$A,$Z56,'Base - Non-Payroll'!$B:$B,"  "&amp;$Z$1)</f>
        <v>-3.6</v>
      </c>
      <c r="AD56" s="12">
        <f>SUMIFS('Base - Non-Payroll'!$L:$L,'Base - Non-Payroll'!$A:$A,$Z56,'Base - Non-Payroll'!$B:$B,"  "&amp;$Z$1)</f>
        <v>-3.6</v>
      </c>
    </row>
    <row r="57" spans="2:30" outlineLevel="1" x14ac:dyDescent="0.35">
      <c r="B57" s="7" t="s">
        <v>15</v>
      </c>
      <c r="C57" s="12">
        <f>SUMIFS('Base - Non-Payroll'!$E:$E,'Base - Non-Payroll'!$A:$A,Summary!$B57)</f>
        <v>621855.21</v>
      </c>
      <c r="D57" s="12">
        <f>SUMIFS('Base - Non-Payroll'!$H:$H,'Base - Non-Payroll'!$A:$A,Summary!$B57)</f>
        <v>621855.21</v>
      </c>
      <c r="E57" s="12">
        <f>SUMIFS('Base - Non-Payroll'!$J:$J,'Base - Non-Payroll'!$A:$A,Summary!$B57)</f>
        <v>621855.21</v>
      </c>
      <c r="F57" s="12">
        <f>SUMIFS('Base - Non-Payroll'!$L:$L,'Base - Non-Payroll'!$A:$A,Summary!$B57)</f>
        <v>621855.21</v>
      </c>
      <c r="H57" s="7" t="s">
        <v>15</v>
      </c>
      <c r="I57" s="12">
        <f>SUMIFS('Base - Non-Payroll'!$E:$E,'Base - Non-Payroll'!$A:$A,$H57,'Base - Non-Payroll'!$B:$B,"  "&amp;$H$1)</f>
        <v>575609.31000000006</v>
      </c>
      <c r="J57" s="12">
        <f>SUMIFS('Base - Non-Payroll'!$H:$H,'Base - Non-Payroll'!$A:$A,$H57,'Base - Non-Payroll'!$B:$B,"  "&amp;$H$1)</f>
        <v>575609.31000000006</v>
      </c>
      <c r="K57" s="12">
        <f>SUMIFS('Base - Non-Payroll'!$J:$J,'Base - Non-Payroll'!$A:$A,$H57,'Base - Non-Payroll'!$B:$B,"  "&amp;$H$1)</f>
        <v>575609.31000000006</v>
      </c>
      <c r="L57" s="12">
        <f>SUMIFS('Base - Non-Payroll'!$L:$L,'Base - Non-Payroll'!$A:$A,$H57,'Base - Non-Payroll'!$B:$B,"  "&amp;$H$1)</f>
        <v>575609.31000000006</v>
      </c>
      <c r="N57" s="7" t="s">
        <v>15</v>
      </c>
      <c r="O57" s="12">
        <f>SUMIFS('Base - Non-Payroll'!$E:$E,'Base - Non-Payroll'!$A:$A,$N57,'Base - Non-Payroll'!$B:$B,"  "&amp;$N$1)</f>
        <v>2.95</v>
      </c>
      <c r="P57" s="12">
        <f>SUMIFS('Base - Non-Payroll'!$H:$H,'Base - Non-Payroll'!$A:$A,$N57,'Base - Non-Payroll'!$B:$B,"  "&amp;$N$1)</f>
        <v>2.95</v>
      </c>
      <c r="Q57" s="12">
        <f>SUMIFS('Base - Non-Payroll'!$J:$J,'Base - Non-Payroll'!$A:$A,$N57,'Base - Non-Payroll'!$B:$B,"  "&amp;$N$1)</f>
        <v>2.95</v>
      </c>
      <c r="R57" s="12">
        <f>SUMIFS('Base - Non-Payroll'!$L:$L,'Base - Non-Payroll'!$A:$A,$N57,'Base - Non-Payroll'!$B:$B,"  "&amp;$N$1)</f>
        <v>2.95</v>
      </c>
      <c r="T57" s="7" t="s">
        <v>15</v>
      </c>
      <c r="U57" s="12">
        <f>SUMIFS('Base - Non-Payroll'!$E:$E,'Base - Non-Payroll'!$A:$A,$T57,'Base - Non-Payroll'!$B:$B,"  "&amp;$T$1)</f>
        <v>46239.61</v>
      </c>
      <c r="V57" s="12">
        <f>SUMIFS('Base - Non-Payroll'!$H:$H,'Base - Non-Payroll'!$A:$A,$T57,'Base - Non-Payroll'!$B:$B,"  "&amp;$T$1)</f>
        <v>46239.61</v>
      </c>
      <c r="W57" s="12">
        <f>SUMIFS('Base - Non-Payroll'!$J:$J,'Base - Non-Payroll'!$A:$A,$T57,'Base - Non-Payroll'!$B:$B,"  "&amp;$T$1)</f>
        <v>46239.61</v>
      </c>
      <c r="X57" s="12">
        <f>SUMIFS('Base - Non-Payroll'!$L:$L,'Base - Non-Payroll'!$A:$A,$T57,'Base - Non-Payroll'!$B:$B,"  "&amp;$T$1)</f>
        <v>46239.61</v>
      </c>
      <c r="Z57" s="7" t="s">
        <v>15</v>
      </c>
      <c r="AA57" s="12">
        <f>SUMIFS('Base - Non-Payroll'!$E:$E,'Base - Non-Payroll'!$A:$A,$Z57,'Base - Non-Payroll'!$B:$B,"  "&amp;$Z$1)</f>
        <v>3.34</v>
      </c>
      <c r="AB57" s="12">
        <f>SUMIFS('Base - Non-Payroll'!$H:$H,'Base - Non-Payroll'!$A:$A,$Z57,'Base - Non-Payroll'!$B:$B,"  "&amp;$Z$1)</f>
        <v>3.34</v>
      </c>
      <c r="AC57" s="12">
        <f>SUMIFS('Base - Non-Payroll'!$J:$J,'Base - Non-Payroll'!$A:$A,$Z57,'Base - Non-Payroll'!$B:$B,"  "&amp;$Z$1)</f>
        <v>3.34</v>
      </c>
      <c r="AD57" s="12">
        <f>SUMIFS('Base - Non-Payroll'!$L:$L,'Base - Non-Payroll'!$A:$A,$Z57,'Base - Non-Payroll'!$B:$B,"  "&amp;$Z$1)</f>
        <v>3.34</v>
      </c>
    </row>
    <row r="58" spans="2:30" outlineLevel="1" x14ac:dyDescent="0.35">
      <c r="B58" s="7" t="s">
        <v>16</v>
      </c>
      <c r="C58" s="12">
        <f>SUMIFS('Base - Non-Payroll'!$E:$E,'Base - Non-Payroll'!$A:$A,Summary!$B58)</f>
        <v>747958</v>
      </c>
      <c r="D58" s="12">
        <f>SUMIFS('Base - Non-Payroll'!$H:$H,'Base - Non-Payroll'!$A:$A,Summary!$B58)</f>
        <v>747958</v>
      </c>
      <c r="E58" s="12">
        <f>SUMIFS('Base - Non-Payroll'!$J:$J,'Base - Non-Payroll'!$A:$A,Summary!$B58)</f>
        <v>747958</v>
      </c>
      <c r="F58" s="12">
        <f>SUMIFS('Base - Non-Payroll'!$L:$L,'Base - Non-Payroll'!$A:$A,Summary!$B58)</f>
        <v>747958</v>
      </c>
      <c r="H58" s="7" t="s">
        <v>16</v>
      </c>
      <c r="I58" s="12">
        <f>SUMIFS('Base - Non-Payroll'!$E:$E,'Base - Non-Payroll'!$A:$A,$H58,'Base - Non-Payroll'!$B:$B,"  "&amp;$H$1)</f>
        <v>0</v>
      </c>
      <c r="J58" s="12">
        <f>SUMIFS('Base - Non-Payroll'!$H:$H,'Base - Non-Payroll'!$A:$A,$H58,'Base - Non-Payroll'!$B:$B,"  "&amp;$H$1)</f>
        <v>0</v>
      </c>
      <c r="K58" s="12">
        <f>SUMIFS('Base - Non-Payroll'!$J:$J,'Base - Non-Payroll'!$A:$A,$H58,'Base - Non-Payroll'!$B:$B,"  "&amp;$H$1)</f>
        <v>0</v>
      </c>
      <c r="L58" s="12">
        <f>SUMIFS('Base - Non-Payroll'!$L:$L,'Base - Non-Payroll'!$A:$A,$H58,'Base - Non-Payroll'!$B:$B,"  "&amp;$H$1)</f>
        <v>0</v>
      </c>
      <c r="N58" s="7" t="s">
        <v>16</v>
      </c>
      <c r="O58" s="12">
        <f>SUMIFS('Base - Non-Payroll'!$E:$E,'Base - Non-Payroll'!$A:$A,$N58,'Base - Non-Payroll'!$B:$B,"  "&amp;$N$1)</f>
        <v>0</v>
      </c>
      <c r="P58" s="12">
        <f>SUMIFS('Base - Non-Payroll'!$H:$H,'Base - Non-Payroll'!$A:$A,$N58,'Base - Non-Payroll'!$B:$B,"  "&amp;$N$1)</f>
        <v>0</v>
      </c>
      <c r="Q58" s="12">
        <f>SUMIFS('Base - Non-Payroll'!$J:$J,'Base - Non-Payroll'!$A:$A,$N58,'Base - Non-Payroll'!$B:$B,"  "&amp;$N$1)</f>
        <v>0</v>
      </c>
      <c r="R58" s="12">
        <f>SUMIFS('Base - Non-Payroll'!$L:$L,'Base - Non-Payroll'!$A:$A,$N58,'Base - Non-Payroll'!$B:$B,"  "&amp;$N$1)</f>
        <v>0</v>
      </c>
      <c r="T58" s="7" t="s">
        <v>16</v>
      </c>
      <c r="U58" s="12">
        <f>SUMIFS('Base - Non-Payroll'!$E:$E,'Base - Non-Payroll'!$A:$A,$T58,'Base - Non-Payroll'!$B:$B,"  "&amp;$T$1)</f>
        <v>747958</v>
      </c>
      <c r="V58" s="12">
        <f>SUMIFS('Base - Non-Payroll'!$H:$H,'Base - Non-Payroll'!$A:$A,$T58,'Base - Non-Payroll'!$B:$B,"  "&amp;$T$1)</f>
        <v>747958</v>
      </c>
      <c r="W58" s="12">
        <f>SUMIFS('Base - Non-Payroll'!$J:$J,'Base - Non-Payroll'!$A:$A,$T58,'Base - Non-Payroll'!$B:$B,"  "&amp;$T$1)</f>
        <v>747958</v>
      </c>
      <c r="X58" s="12">
        <f>SUMIFS('Base - Non-Payroll'!$L:$L,'Base - Non-Payroll'!$A:$A,$T58,'Base - Non-Payroll'!$B:$B,"  "&amp;$T$1)</f>
        <v>747958</v>
      </c>
      <c r="Z58" s="7" t="s">
        <v>16</v>
      </c>
      <c r="AA58" s="12">
        <f>SUMIFS('Base - Non-Payroll'!$E:$E,'Base - Non-Payroll'!$A:$A,$Z58,'Base - Non-Payroll'!$B:$B,"  "&amp;$Z$1)</f>
        <v>0</v>
      </c>
      <c r="AB58" s="12">
        <f>SUMIFS('Base - Non-Payroll'!$H:$H,'Base - Non-Payroll'!$A:$A,$Z58,'Base - Non-Payroll'!$B:$B,"  "&amp;$Z$1)</f>
        <v>0</v>
      </c>
      <c r="AC58" s="12">
        <f>SUMIFS('Base - Non-Payroll'!$J:$J,'Base - Non-Payroll'!$A:$A,$Z58,'Base - Non-Payroll'!$B:$B,"  "&amp;$Z$1)</f>
        <v>0</v>
      </c>
      <c r="AD58" s="12">
        <f>SUMIFS('Base - Non-Payroll'!$L:$L,'Base - Non-Payroll'!$A:$A,$Z58,'Base - Non-Payroll'!$B:$B,"  "&amp;$Z$1)</f>
        <v>0</v>
      </c>
    </row>
    <row r="59" spans="2:30" outlineLevel="1" x14ac:dyDescent="0.35">
      <c r="B59" s="7" t="s">
        <v>17</v>
      </c>
      <c r="C59" s="12">
        <f>SUMIFS('Base - Non-Payroll'!$E:$E,'Base - Non-Payroll'!$A:$A,Summary!$B59)</f>
        <v>3003935.5200300002</v>
      </c>
      <c r="D59" s="12">
        <f>SUMIFS('Base - Non-Payroll'!$H:$H,'Base - Non-Payroll'!$A:$A,Summary!$B59)</f>
        <v>3003935.5200300002</v>
      </c>
      <c r="E59" s="12">
        <f>SUMIFS('Base - Non-Payroll'!$J:$J,'Base - Non-Payroll'!$A:$A,Summary!$B59)</f>
        <v>3003935.5200300002</v>
      </c>
      <c r="F59" s="12">
        <f>SUMIFS('Base - Non-Payroll'!$L:$L,'Base - Non-Payroll'!$A:$A,Summary!$B59)</f>
        <v>3003935.5200300002</v>
      </c>
      <c r="H59" s="7" t="s">
        <v>17</v>
      </c>
      <c r="I59" s="12">
        <f>SUMIFS('Base - Non-Payroll'!$E:$E,'Base - Non-Payroll'!$A:$A,$H59,'Base - Non-Payroll'!$B:$B,"  "&amp;$H$1)</f>
        <v>1892769.3300300001</v>
      </c>
      <c r="J59" s="12">
        <f>SUMIFS('Base - Non-Payroll'!$H:$H,'Base - Non-Payroll'!$A:$A,$H59,'Base - Non-Payroll'!$B:$B,"  "&amp;$H$1)</f>
        <v>1892769.3300300001</v>
      </c>
      <c r="K59" s="12">
        <f>SUMIFS('Base - Non-Payroll'!$J:$J,'Base - Non-Payroll'!$A:$A,$H59,'Base - Non-Payroll'!$B:$B,"  "&amp;$H$1)</f>
        <v>1892769.3300300001</v>
      </c>
      <c r="L59" s="12">
        <f>SUMIFS('Base - Non-Payroll'!$L:$L,'Base - Non-Payroll'!$A:$A,$H59,'Base - Non-Payroll'!$B:$B,"  "&amp;$H$1)</f>
        <v>1892769.3300300001</v>
      </c>
      <c r="N59" s="7" t="s">
        <v>17</v>
      </c>
      <c r="O59" s="12">
        <f>SUMIFS('Base - Non-Payroll'!$E:$E,'Base - Non-Payroll'!$A:$A,$N59,'Base - Non-Payroll'!$B:$B,"  "&amp;$N$1)</f>
        <v>203998.22</v>
      </c>
      <c r="P59" s="12">
        <f>SUMIFS('Base - Non-Payroll'!$H:$H,'Base - Non-Payroll'!$A:$A,$N59,'Base - Non-Payroll'!$B:$B,"  "&amp;$N$1)</f>
        <v>203998.22</v>
      </c>
      <c r="Q59" s="12">
        <f>SUMIFS('Base - Non-Payroll'!$J:$J,'Base - Non-Payroll'!$A:$A,$N59,'Base - Non-Payroll'!$B:$B,"  "&amp;$N$1)</f>
        <v>203998.22</v>
      </c>
      <c r="R59" s="12">
        <f>SUMIFS('Base - Non-Payroll'!$L:$L,'Base - Non-Payroll'!$A:$A,$N59,'Base - Non-Payroll'!$B:$B,"  "&amp;$N$1)</f>
        <v>203998.22</v>
      </c>
      <c r="T59" s="7" t="s">
        <v>17</v>
      </c>
      <c r="U59" s="12">
        <f>SUMIFS('Base - Non-Payroll'!$E:$E,'Base - Non-Payroll'!$A:$A,$T59,'Base - Non-Payroll'!$B:$B,"  "&amp;$T$1)</f>
        <v>594403.82999999996</v>
      </c>
      <c r="V59" s="12">
        <f>SUMIFS('Base - Non-Payroll'!$H:$H,'Base - Non-Payroll'!$A:$A,$T59,'Base - Non-Payroll'!$B:$B,"  "&amp;$T$1)</f>
        <v>594403.82999999996</v>
      </c>
      <c r="W59" s="12">
        <f>SUMIFS('Base - Non-Payroll'!$J:$J,'Base - Non-Payroll'!$A:$A,$T59,'Base - Non-Payroll'!$B:$B,"  "&amp;$T$1)</f>
        <v>594403.82999999996</v>
      </c>
      <c r="X59" s="12">
        <f>SUMIFS('Base - Non-Payroll'!$L:$L,'Base - Non-Payroll'!$A:$A,$T59,'Base - Non-Payroll'!$B:$B,"  "&amp;$T$1)</f>
        <v>594403.82999999996</v>
      </c>
      <c r="Z59" s="7" t="s">
        <v>17</v>
      </c>
      <c r="AA59" s="12">
        <f>SUMIFS('Base - Non-Payroll'!$E:$E,'Base - Non-Payroll'!$A:$A,$Z59,'Base - Non-Payroll'!$B:$B,"  "&amp;$Z$1)</f>
        <v>312764.14</v>
      </c>
      <c r="AB59" s="12">
        <f>SUMIFS('Base - Non-Payroll'!$H:$H,'Base - Non-Payroll'!$A:$A,$Z59,'Base - Non-Payroll'!$B:$B,"  "&amp;$Z$1)</f>
        <v>312764.14</v>
      </c>
      <c r="AC59" s="12">
        <f>SUMIFS('Base - Non-Payroll'!$J:$J,'Base - Non-Payroll'!$A:$A,$Z59,'Base - Non-Payroll'!$B:$B,"  "&amp;$Z$1)</f>
        <v>312764.14</v>
      </c>
      <c r="AD59" s="12">
        <f>SUMIFS('Base - Non-Payroll'!$L:$L,'Base - Non-Payroll'!$A:$A,$Z59,'Base - Non-Payroll'!$B:$B,"  "&amp;$Z$1)</f>
        <v>312764.14</v>
      </c>
    </row>
    <row r="60" spans="2:30" outlineLevel="1" x14ac:dyDescent="0.35">
      <c r="B60" s="7" t="s">
        <v>18</v>
      </c>
      <c r="C60" s="12">
        <f>SUMIFS('Base - Non-Payroll'!$E:$E,'Base - Non-Payroll'!$A:$A,Summary!$B60)</f>
        <v>232642.22999399999</v>
      </c>
      <c r="D60" s="12">
        <f>SUMIFS('Base - Non-Payroll'!$H:$H,'Base - Non-Payroll'!$A:$A,Summary!$B60)</f>
        <v>232642.22999399999</v>
      </c>
      <c r="E60" s="12">
        <f>SUMIFS('Base - Non-Payroll'!$J:$J,'Base - Non-Payroll'!$A:$A,Summary!$B60)</f>
        <v>232642.22999399999</v>
      </c>
      <c r="F60" s="12">
        <f>SUMIFS('Base - Non-Payroll'!$L:$L,'Base - Non-Payroll'!$A:$A,Summary!$B60)</f>
        <v>232642.22999399999</v>
      </c>
      <c r="H60" s="7" t="s">
        <v>18</v>
      </c>
      <c r="I60" s="12">
        <f>SUMIFS('Base - Non-Payroll'!$E:$E,'Base - Non-Payroll'!$A:$A,$H60,'Base - Non-Payroll'!$B:$B,"  "&amp;$H$1)</f>
        <v>167102.53999399999</v>
      </c>
      <c r="J60" s="12">
        <f>SUMIFS('Base - Non-Payroll'!$H:$H,'Base - Non-Payroll'!$A:$A,$H60,'Base - Non-Payroll'!$B:$B,"  "&amp;$H$1)</f>
        <v>167102.53999399999</v>
      </c>
      <c r="K60" s="12">
        <f>SUMIFS('Base - Non-Payroll'!$J:$J,'Base - Non-Payroll'!$A:$A,$H60,'Base - Non-Payroll'!$B:$B,"  "&amp;$H$1)</f>
        <v>167102.53999399999</v>
      </c>
      <c r="L60" s="12">
        <f>SUMIFS('Base - Non-Payroll'!$L:$L,'Base - Non-Payroll'!$A:$A,$H60,'Base - Non-Payroll'!$B:$B,"  "&amp;$H$1)</f>
        <v>167102.53999399999</v>
      </c>
      <c r="N60" s="7" t="s">
        <v>18</v>
      </c>
      <c r="O60" s="12">
        <f>SUMIFS('Base - Non-Payroll'!$E:$E,'Base - Non-Payroll'!$A:$A,$N60,'Base - Non-Payroll'!$B:$B,"  "&amp;$N$1)</f>
        <v>23996</v>
      </c>
      <c r="P60" s="12">
        <f>SUMIFS('Base - Non-Payroll'!$H:$H,'Base - Non-Payroll'!$A:$A,$N60,'Base - Non-Payroll'!$B:$B,"  "&amp;$N$1)</f>
        <v>23996</v>
      </c>
      <c r="Q60" s="12">
        <f>SUMIFS('Base - Non-Payroll'!$J:$J,'Base - Non-Payroll'!$A:$A,$N60,'Base - Non-Payroll'!$B:$B,"  "&amp;$N$1)</f>
        <v>23996</v>
      </c>
      <c r="R60" s="12">
        <f>SUMIFS('Base - Non-Payroll'!$L:$L,'Base - Non-Payroll'!$A:$A,$N60,'Base - Non-Payroll'!$B:$B,"  "&amp;$N$1)</f>
        <v>23996</v>
      </c>
      <c r="T60" s="7" t="s">
        <v>18</v>
      </c>
      <c r="U60" s="12">
        <f>SUMIFS('Base - Non-Payroll'!$E:$E,'Base - Non-Payroll'!$A:$A,$T60,'Base - Non-Payroll'!$B:$B,"  "&amp;$T$1)</f>
        <v>11544</v>
      </c>
      <c r="V60" s="12">
        <f>SUMIFS('Base - Non-Payroll'!$H:$H,'Base - Non-Payroll'!$A:$A,$T60,'Base - Non-Payroll'!$B:$B,"  "&amp;$T$1)</f>
        <v>11544</v>
      </c>
      <c r="W60" s="12">
        <f>SUMIFS('Base - Non-Payroll'!$J:$J,'Base - Non-Payroll'!$A:$A,$T60,'Base - Non-Payroll'!$B:$B,"  "&amp;$T$1)</f>
        <v>11544</v>
      </c>
      <c r="X60" s="12">
        <f>SUMIFS('Base - Non-Payroll'!$L:$L,'Base - Non-Payroll'!$A:$A,$T60,'Base - Non-Payroll'!$B:$B,"  "&amp;$T$1)</f>
        <v>11544</v>
      </c>
      <c r="Z60" s="7" t="s">
        <v>18</v>
      </c>
      <c r="AA60" s="12">
        <f>SUMIFS('Base - Non-Payroll'!$E:$E,'Base - Non-Payroll'!$A:$A,$Z60,'Base - Non-Payroll'!$B:$B,"  "&amp;$Z$1)</f>
        <v>29999.69</v>
      </c>
      <c r="AB60" s="12">
        <f>SUMIFS('Base - Non-Payroll'!$H:$H,'Base - Non-Payroll'!$A:$A,$Z60,'Base - Non-Payroll'!$B:$B,"  "&amp;$Z$1)</f>
        <v>29999.69</v>
      </c>
      <c r="AC60" s="12">
        <f>SUMIFS('Base - Non-Payroll'!$J:$J,'Base - Non-Payroll'!$A:$A,$Z60,'Base - Non-Payroll'!$B:$B,"  "&amp;$Z$1)</f>
        <v>29999.69</v>
      </c>
      <c r="AD60" s="12">
        <f>SUMIFS('Base - Non-Payroll'!$L:$L,'Base - Non-Payroll'!$A:$A,$Z60,'Base - Non-Payroll'!$B:$B,"  "&amp;$Z$1)</f>
        <v>29999.69</v>
      </c>
    </row>
    <row r="61" spans="2:30" outlineLevel="1" x14ac:dyDescent="0.35">
      <c r="B61" s="7" t="s">
        <v>19</v>
      </c>
      <c r="C61" s="12">
        <f>SUMIFS('Base - Non-Payroll'!$E:$E,'Base - Non-Payroll'!$A:$A,Summary!$B61)</f>
        <v>0</v>
      </c>
      <c r="D61" s="12">
        <f>SUMIFS('Base - Non-Payroll'!$H:$H,'Base - Non-Payroll'!$A:$A,Summary!$B61)</f>
        <v>0</v>
      </c>
      <c r="E61" s="12">
        <f>SUMIFS('Base - Non-Payroll'!$J:$J,'Base - Non-Payroll'!$A:$A,Summary!$B61)</f>
        <v>0</v>
      </c>
      <c r="F61" s="12">
        <f>SUMIFS('Base - Non-Payroll'!$L:$L,'Base - Non-Payroll'!$A:$A,Summary!$B61)</f>
        <v>0</v>
      </c>
      <c r="H61" s="7" t="s">
        <v>19</v>
      </c>
      <c r="I61" s="12">
        <f>SUMIFS('Base - Non-Payroll'!$E:$E,'Base - Non-Payroll'!$A:$A,$H61,'Base - Non-Payroll'!$B:$B,"  "&amp;$H$1)</f>
        <v>0</v>
      </c>
      <c r="J61" s="12">
        <f>SUMIFS('Base - Non-Payroll'!$H:$H,'Base - Non-Payroll'!$A:$A,$H61,'Base - Non-Payroll'!$B:$B,"  "&amp;$H$1)</f>
        <v>0</v>
      </c>
      <c r="K61" s="12">
        <f>SUMIFS('Base - Non-Payroll'!$J:$J,'Base - Non-Payroll'!$A:$A,$H61,'Base - Non-Payroll'!$B:$B,"  "&amp;$H$1)</f>
        <v>0</v>
      </c>
      <c r="L61" s="12">
        <f>SUMIFS('Base - Non-Payroll'!$L:$L,'Base - Non-Payroll'!$A:$A,$H61,'Base - Non-Payroll'!$B:$B,"  "&amp;$H$1)</f>
        <v>0</v>
      </c>
      <c r="N61" s="7" t="s">
        <v>19</v>
      </c>
      <c r="O61" s="12">
        <f>SUMIFS('Base - Non-Payroll'!$E:$E,'Base - Non-Payroll'!$A:$A,$N61,'Base - Non-Payroll'!$B:$B,"  "&amp;$N$1)</f>
        <v>0</v>
      </c>
      <c r="P61" s="12">
        <f>SUMIFS('Base - Non-Payroll'!$H:$H,'Base - Non-Payroll'!$A:$A,$N61,'Base - Non-Payroll'!$B:$B,"  "&amp;$N$1)</f>
        <v>0</v>
      </c>
      <c r="Q61" s="12">
        <f>SUMIFS('Base - Non-Payroll'!$J:$J,'Base - Non-Payroll'!$A:$A,$N61,'Base - Non-Payroll'!$B:$B,"  "&amp;$N$1)</f>
        <v>0</v>
      </c>
      <c r="R61" s="12">
        <f>SUMIFS('Base - Non-Payroll'!$L:$L,'Base - Non-Payroll'!$A:$A,$N61,'Base - Non-Payroll'!$B:$B,"  "&amp;$N$1)</f>
        <v>0</v>
      </c>
      <c r="T61" s="7" t="s">
        <v>19</v>
      </c>
      <c r="U61" s="12">
        <f>SUMIFS('Base - Non-Payroll'!$E:$E,'Base - Non-Payroll'!$A:$A,$T61,'Base - Non-Payroll'!$B:$B,"  "&amp;$T$1)</f>
        <v>0</v>
      </c>
      <c r="V61" s="12">
        <f>SUMIFS('Base - Non-Payroll'!$H:$H,'Base - Non-Payroll'!$A:$A,$T61,'Base - Non-Payroll'!$B:$B,"  "&amp;$T$1)</f>
        <v>0</v>
      </c>
      <c r="W61" s="12">
        <f>SUMIFS('Base - Non-Payroll'!$J:$J,'Base - Non-Payroll'!$A:$A,$T61,'Base - Non-Payroll'!$B:$B,"  "&amp;$T$1)</f>
        <v>0</v>
      </c>
      <c r="X61" s="12">
        <f>SUMIFS('Base - Non-Payroll'!$L:$L,'Base - Non-Payroll'!$A:$A,$T61,'Base - Non-Payroll'!$B:$B,"  "&amp;$T$1)</f>
        <v>0</v>
      </c>
      <c r="Z61" s="7" t="s">
        <v>19</v>
      </c>
      <c r="AA61" s="12">
        <f>SUMIFS('Base - Non-Payroll'!$E:$E,'Base - Non-Payroll'!$A:$A,$Z61,'Base - Non-Payroll'!$B:$B,"  "&amp;$Z$1)</f>
        <v>0</v>
      </c>
      <c r="AB61" s="12">
        <f>SUMIFS('Base - Non-Payroll'!$H:$H,'Base - Non-Payroll'!$A:$A,$Z61,'Base - Non-Payroll'!$B:$B,"  "&amp;$Z$1)</f>
        <v>0</v>
      </c>
      <c r="AC61" s="12">
        <f>SUMIFS('Base - Non-Payroll'!$J:$J,'Base - Non-Payroll'!$A:$A,$Z61,'Base - Non-Payroll'!$B:$B,"  "&amp;$Z$1)</f>
        <v>0</v>
      </c>
      <c r="AD61" s="12">
        <f>SUMIFS('Base - Non-Payroll'!$L:$L,'Base - Non-Payroll'!$A:$A,$Z61,'Base - Non-Payroll'!$B:$B,"  "&amp;$Z$1)</f>
        <v>0</v>
      </c>
    </row>
    <row r="62" spans="2:30" outlineLevel="1" x14ac:dyDescent="0.35">
      <c r="B62" s="7" t="s">
        <v>20</v>
      </c>
      <c r="C62" s="12">
        <f>SUMIFS('Base - Non-Payroll'!$E:$E,'Base - Non-Payroll'!$A:$A,Summary!$B62)</f>
        <v>0</v>
      </c>
      <c r="D62" s="12">
        <f>SUMIFS('Base - Non-Payroll'!$H:$H,'Base - Non-Payroll'!$A:$A,Summary!$B62)</f>
        <v>0</v>
      </c>
      <c r="E62" s="12">
        <f>SUMIFS('Base - Non-Payroll'!$J:$J,'Base - Non-Payroll'!$A:$A,Summary!$B62)</f>
        <v>0</v>
      </c>
      <c r="F62" s="12">
        <f>SUMIFS('Base - Non-Payroll'!$L:$L,'Base - Non-Payroll'!$A:$A,Summary!$B62)</f>
        <v>0</v>
      </c>
      <c r="H62" s="7" t="s">
        <v>20</v>
      </c>
      <c r="I62" s="12">
        <f>SUMIFS('Base - Non-Payroll'!$E:$E,'Base - Non-Payroll'!$A:$A,$H62,'Base - Non-Payroll'!$B:$B,"  "&amp;$H$1)</f>
        <v>0</v>
      </c>
      <c r="J62" s="12">
        <f>SUMIFS('Base - Non-Payroll'!$H:$H,'Base - Non-Payroll'!$A:$A,$H62,'Base - Non-Payroll'!$B:$B,"  "&amp;$H$1)</f>
        <v>0</v>
      </c>
      <c r="K62" s="12">
        <f>SUMIFS('Base - Non-Payroll'!$J:$J,'Base - Non-Payroll'!$A:$A,$H62,'Base - Non-Payroll'!$B:$B,"  "&amp;$H$1)</f>
        <v>0</v>
      </c>
      <c r="L62" s="12">
        <f>SUMIFS('Base - Non-Payroll'!$L:$L,'Base - Non-Payroll'!$A:$A,$H62,'Base - Non-Payroll'!$B:$B,"  "&amp;$H$1)</f>
        <v>0</v>
      </c>
      <c r="N62" s="7" t="s">
        <v>20</v>
      </c>
      <c r="O62" s="12">
        <f>SUMIFS('Base - Non-Payroll'!$E:$E,'Base - Non-Payroll'!$A:$A,$N62,'Base - Non-Payroll'!$B:$B,"  "&amp;$N$1)</f>
        <v>0</v>
      </c>
      <c r="P62" s="12">
        <f>SUMIFS('Base - Non-Payroll'!$H:$H,'Base - Non-Payroll'!$A:$A,$N62,'Base - Non-Payroll'!$B:$B,"  "&amp;$N$1)</f>
        <v>0</v>
      </c>
      <c r="Q62" s="12">
        <f>SUMIFS('Base - Non-Payroll'!$J:$J,'Base - Non-Payroll'!$A:$A,$N62,'Base - Non-Payroll'!$B:$B,"  "&amp;$N$1)</f>
        <v>0</v>
      </c>
      <c r="R62" s="12">
        <f>SUMIFS('Base - Non-Payroll'!$L:$L,'Base - Non-Payroll'!$A:$A,$N62,'Base - Non-Payroll'!$B:$B,"  "&amp;$N$1)</f>
        <v>0</v>
      </c>
      <c r="T62" s="7" t="s">
        <v>20</v>
      </c>
      <c r="U62" s="12">
        <f>SUMIFS('Base - Non-Payroll'!$E:$E,'Base - Non-Payroll'!$A:$A,$T62,'Base - Non-Payroll'!$B:$B,"  "&amp;$T$1)</f>
        <v>0</v>
      </c>
      <c r="V62" s="12">
        <f>SUMIFS('Base - Non-Payroll'!$H:$H,'Base - Non-Payroll'!$A:$A,$T62,'Base - Non-Payroll'!$B:$B,"  "&amp;$T$1)</f>
        <v>0</v>
      </c>
      <c r="W62" s="12">
        <f>SUMIFS('Base - Non-Payroll'!$J:$J,'Base - Non-Payroll'!$A:$A,$T62,'Base - Non-Payroll'!$B:$B,"  "&amp;$T$1)</f>
        <v>0</v>
      </c>
      <c r="X62" s="12">
        <f>SUMIFS('Base - Non-Payroll'!$L:$L,'Base - Non-Payroll'!$A:$A,$T62,'Base - Non-Payroll'!$B:$B,"  "&amp;$T$1)</f>
        <v>0</v>
      </c>
      <c r="Z62" s="7" t="s">
        <v>20</v>
      </c>
      <c r="AA62" s="12">
        <f>SUMIFS('Base - Non-Payroll'!$E:$E,'Base - Non-Payroll'!$A:$A,$Z62,'Base - Non-Payroll'!$B:$B,"  "&amp;$Z$1)</f>
        <v>0</v>
      </c>
      <c r="AB62" s="12">
        <f>SUMIFS('Base - Non-Payroll'!$H:$H,'Base - Non-Payroll'!$A:$A,$Z62,'Base - Non-Payroll'!$B:$B,"  "&amp;$Z$1)</f>
        <v>0</v>
      </c>
      <c r="AC62" s="12">
        <f>SUMIFS('Base - Non-Payroll'!$J:$J,'Base - Non-Payroll'!$A:$A,$Z62,'Base - Non-Payroll'!$B:$B,"  "&amp;$Z$1)</f>
        <v>0</v>
      </c>
      <c r="AD62" s="12">
        <f>SUMIFS('Base - Non-Payroll'!$L:$L,'Base - Non-Payroll'!$A:$A,$Z62,'Base - Non-Payroll'!$B:$B,"  "&amp;$Z$1)</f>
        <v>0</v>
      </c>
    </row>
    <row r="63" spans="2:30" outlineLevel="1" x14ac:dyDescent="0.35">
      <c r="B63" s="7" t="s">
        <v>21</v>
      </c>
      <c r="C63" s="12">
        <f>SUMIFS('Base - Non-Payroll'!$E:$E,'Base - Non-Payroll'!$A:$A,Summary!$B63)</f>
        <v>83995.69</v>
      </c>
      <c r="D63" s="12">
        <f>SUMIFS('Base - Non-Payroll'!$H:$H,'Base - Non-Payroll'!$A:$A,Summary!$B63)</f>
        <v>83995.69</v>
      </c>
      <c r="E63" s="12">
        <f>SUMIFS('Base - Non-Payroll'!$J:$J,'Base - Non-Payroll'!$A:$A,Summary!$B63)</f>
        <v>83995.69</v>
      </c>
      <c r="F63" s="12">
        <f>SUMIFS('Base - Non-Payroll'!$L:$L,'Base - Non-Payroll'!$A:$A,Summary!$B63)</f>
        <v>83995.69</v>
      </c>
      <c r="H63" s="7" t="s">
        <v>21</v>
      </c>
      <c r="I63" s="12">
        <f>SUMIFS('Base - Non-Payroll'!$E:$E,'Base - Non-Payroll'!$A:$A,$H63,'Base - Non-Payroll'!$B:$B,"  "&amp;$H$1)</f>
        <v>63989.86</v>
      </c>
      <c r="J63" s="12">
        <f>SUMIFS('Base - Non-Payroll'!$H:$H,'Base - Non-Payroll'!$A:$A,$H63,'Base - Non-Payroll'!$B:$B,"  "&amp;$H$1)</f>
        <v>63989.86</v>
      </c>
      <c r="K63" s="12">
        <f>SUMIFS('Base - Non-Payroll'!$J:$J,'Base - Non-Payroll'!$A:$A,$H63,'Base - Non-Payroll'!$B:$B,"  "&amp;$H$1)</f>
        <v>63989.86</v>
      </c>
      <c r="L63" s="12">
        <f>SUMIFS('Base - Non-Payroll'!$L:$L,'Base - Non-Payroll'!$A:$A,$H63,'Base - Non-Payroll'!$B:$B,"  "&amp;$H$1)</f>
        <v>63989.86</v>
      </c>
      <c r="N63" s="7" t="s">
        <v>21</v>
      </c>
      <c r="O63" s="12">
        <f>SUMIFS('Base - Non-Payroll'!$E:$E,'Base - Non-Payroll'!$A:$A,$N63,'Base - Non-Payroll'!$B:$B,"  "&amp;$N$1)</f>
        <v>0</v>
      </c>
      <c r="P63" s="12">
        <f>SUMIFS('Base - Non-Payroll'!$H:$H,'Base - Non-Payroll'!$A:$A,$N63,'Base - Non-Payroll'!$B:$B,"  "&amp;$N$1)</f>
        <v>0</v>
      </c>
      <c r="Q63" s="12">
        <f>SUMIFS('Base - Non-Payroll'!$J:$J,'Base - Non-Payroll'!$A:$A,$N63,'Base - Non-Payroll'!$B:$B,"  "&amp;$N$1)</f>
        <v>0</v>
      </c>
      <c r="R63" s="12">
        <f>SUMIFS('Base - Non-Payroll'!$L:$L,'Base - Non-Payroll'!$A:$A,$N63,'Base - Non-Payroll'!$B:$B,"  "&amp;$N$1)</f>
        <v>0</v>
      </c>
      <c r="T63" s="7" t="s">
        <v>21</v>
      </c>
      <c r="U63" s="12">
        <f>SUMIFS('Base - Non-Payroll'!$E:$E,'Base - Non-Payroll'!$A:$A,$T63,'Base - Non-Payroll'!$B:$B,"  "&amp;$T$1)</f>
        <v>20005.830000000002</v>
      </c>
      <c r="V63" s="12">
        <f>SUMIFS('Base - Non-Payroll'!$H:$H,'Base - Non-Payroll'!$A:$A,$T63,'Base - Non-Payroll'!$B:$B,"  "&amp;$T$1)</f>
        <v>20005.830000000002</v>
      </c>
      <c r="W63" s="12">
        <f>SUMIFS('Base - Non-Payroll'!$J:$J,'Base - Non-Payroll'!$A:$A,$T63,'Base - Non-Payroll'!$B:$B,"  "&amp;$T$1)</f>
        <v>20005.830000000002</v>
      </c>
      <c r="X63" s="12">
        <f>SUMIFS('Base - Non-Payroll'!$L:$L,'Base - Non-Payroll'!$A:$A,$T63,'Base - Non-Payroll'!$B:$B,"  "&amp;$T$1)</f>
        <v>20005.830000000002</v>
      </c>
      <c r="Z63" s="7" t="s">
        <v>21</v>
      </c>
      <c r="AA63" s="12">
        <f>SUMIFS('Base - Non-Payroll'!$E:$E,'Base - Non-Payroll'!$A:$A,$Z63,'Base - Non-Payroll'!$B:$B,"  "&amp;$Z$1)</f>
        <v>0</v>
      </c>
      <c r="AB63" s="12">
        <f>SUMIFS('Base - Non-Payroll'!$H:$H,'Base - Non-Payroll'!$A:$A,$Z63,'Base - Non-Payroll'!$B:$B,"  "&amp;$Z$1)</f>
        <v>0</v>
      </c>
      <c r="AC63" s="12">
        <f>SUMIFS('Base - Non-Payroll'!$J:$J,'Base - Non-Payroll'!$A:$A,$Z63,'Base - Non-Payroll'!$B:$B,"  "&amp;$Z$1)</f>
        <v>0</v>
      </c>
      <c r="AD63" s="12">
        <f>SUMIFS('Base - Non-Payroll'!$L:$L,'Base - Non-Payroll'!$A:$A,$Z63,'Base - Non-Payroll'!$B:$B,"  "&amp;$Z$1)</f>
        <v>0</v>
      </c>
    </row>
    <row r="64" spans="2:30" outlineLevel="1" x14ac:dyDescent="0.35">
      <c r="B64" s="7" t="s">
        <v>22</v>
      </c>
      <c r="C64" s="12">
        <f>SUMIFS('Base - Non-Payroll'!$E:$E,'Base - Non-Payroll'!$A:$A,Summary!$B64)</f>
        <v>251825.74300000002</v>
      </c>
      <c r="D64" s="12">
        <f>SUMIFS('Base - Non-Payroll'!$H:$H,'Base - Non-Payroll'!$A:$A,Summary!$B64)</f>
        <v>251825.74300000002</v>
      </c>
      <c r="E64" s="12">
        <f>SUMIFS('Base - Non-Payroll'!$J:$J,'Base - Non-Payroll'!$A:$A,Summary!$B64)</f>
        <v>251825.74300000002</v>
      </c>
      <c r="F64" s="12">
        <f>SUMIFS('Base - Non-Payroll'!$L:$L,'Base - Non-Payroll'!$A:$A,Summary!$B64)</f>
        <v>251825.74300000002</v>
      </c>
      <c r="H64" s="7" t="s">
        <v>22</v>
      </c>
      <c r="I64" s="12">
        <f>SUMIFS('Base - Non-Payroll'!$E:$E,'Base - Non-Payroll'!$A:$A,$H64,'Base - Non-Payroll'!$B:$B,"  "&amp;$H$1)</f>
        <v>164413.163</v>
      </c>
      <c r="J64" s="12">
        <f>SUMIFS('Base - Non-Payroll'!$H:$H,'Base - Non-Payroll'!$A:$A,$H64,'Base - Non-Payroll'!$B:$B,"  "&amp;$H$1)</f>
        <v>164413.163</v>
      </c>
      <c r="K64" s="12">
        <f>SUMIFS('Base - Non-Payroll'!$J:$J,'Base - Non-Payroll'!$A:$A,$H64,'Base - Non-Payroll'!$B:$B,"  "&amp;$H$1)</f>
        <v>164413.163</v>
      </c>
      <c r="L64" s="12">
        <f>SUMIFS('Base - Non-Payroll'!$L:$L,'Base - Non-Payroll'!$A:$A,$H64,'Base - Non-Payroll'!$B:$B,"  "&amp;$H$1)</f>
        <v>164413.163</v>
      </c>
      <c r="N64" s="7" t="s">
        <v>22</v>
      </c>
      <c r="O64" s="12">
        <f>SUMIFS('Base - Non-Payroll'!$E:$E,'Base - Non-Payroll'!$A:$A,$N64,'Base - Non-Payroll'!$B:$B,"  "&amp;$N$1)</f>
        <v>48003.38</v>
      </c>
      <c r="P64" s="12">
        <f>SUMIFS('Base - Non-Payroll'!$H:$H,'Base - Non-Payroll'!$A:$A,$N64,'Base - Non-Payroll'!$B:$B,"  "&amp;$N$1)</f>
        <v>48003.38</v>
      </c>
      <c r="Q64" s="12">
        <f>SUMIFS('Base - Non-Payroll'!$J:$J,'Base - Non-Payroll'!$A:$A,$N64,'Base - Non-Payroll'!$B:$B,"  "&amp;$N$1)</f>
        <v>48003.38</v>
      </c>
      <c r="R64" s="12">
        <f>SUMIFS('Base - Non-Payroll'!$L:$L,'Base - Non-Payroll'!$A:$A,$N64,'Base - Non-Payroll'!$B:$B,"  "&amp;$N$1)</f>
        <v>48003.38</v>
      </c>
      <c r="T64" s="7" t="s">
        <v>22</v>
      </c>
      <c r="U64" s="12">
        <f>SUMIFS('Base - Non-Payroll'!$E:$E,'Base - Non-Payroll'!$A:$A,$T64,'Base - Non-Payroll'!$B:$B,"  "&amp;$T$1)</f>
        <v>34403.22</v>
      </c>
      <c r="V64" s="12">
        <f>SUMIFS('Base - Non-Payroll'!$H:$H,'Base - Non-Payroll'!$A:$A,$T64,'Base - Non-Payroll'!$B:$B,"  "&amp;$T$1)</f>
        <v>34403.22</v>
      </c>
      <c r="W64" s="12">
        <f>SUMIFS('Base - Non-Payroll'!$J:$J,'Base - Non-Payroll'!$A:$A,$T64,'Base - Non-Payroll'!$B:$B,"  "&amp;$T$1)</f>
        <v>34403.22</v>
      </c>
      <c r="X64" s="12">
        <f>SUMIFS('Base - Non-Payroll'!$L:$L,'Base - Non-Payroll'!$A:$A,$T64,'Base - Non-Payroll'!$B:$B,"  "&amp;$T$1)</f>
        <v>34403.22</v>
      </c>
      <c r="Z64" s="7" t="s">
        <v>22</v>
      </c>
      <c r="AA64" s="12">
        <f>SUMIFS('Base - Non-Payroll'!$E:$E,'Base - Non-Payroll'!$A:$A,$Z64,'Base - Non-Payroll'!$B:$B,"  "&amp;$Z$1)</f>
        <v>5005.9799999999996</v>
      </c>
      <c r="AB64" s="12">
        <f>SUMIFS('Base - Non-Payroll'!$H:$H,'Base - Non-Payroll'!$A:$A,$Z64,'Base - Non-Payroll'!$B:$B,"  "&amp;$Z$1)</f>
        <v>5005.9799999999996</v>
      </c>
      <c r="AC64" s="12">
        <f>SUMIFS('Base - Non-Payroll'!$J:$J,'Base - Non-Payroll'!$A:$A,$Z64,'Base - Non-Payroll'!$B:$B,"  "&amp;$Z$1)</f>
        <v>5005.9799999999996</v>
      </c>
      <c r="AD64" s="12">
        <f>SUMIFS('Base - Non-Payroll'!$L:$L,'Base - Non-Payroll'!$A:$A,$Z64,'Base - Non-Payroll'!$B:$B,"  "&amp;$Z$1)</f>
        <v>5005.9799999999996</v>
      </c>
    </row>
    <row r="65" spans="2:30" outlineLevel="1" x14ac:dyDescent="0.35">
      <c r="B65" s="7" t="s">
        <v>23</v>
      </c>
      <c r="C65" s="12">
        <f>SUMIFS('Base - Non-Payroll'!$E:$E,'Base - Non-Payroll'!$A:$A,Summary!$B65)</f>
        <v>0</v>
      </c>
      <c r="D65" s="12">
        <f>SUMIFS('Base - Non-Payroll'!$H:$H,'Base - Non-Payroll'!$A:$A,Summary!$B65)</f>
        <v>0</v>
      </c>
      <c r="E65" s="12">
        <f>SUMIFS('Base - Non-Payroll'!$J:$J,'Base - Non-Payroll'!$A:$A,Summary!$B65)</f>
        <v>0</v>
      </c>
      <c r="F65" s="12">
        <f>SUMIFS('Base - Non-Payroll'!$L:$L,'Base - Non-Payroll'!$A:$A,Summary!$B65)</f>
        <v>0</v>
      </c>
      <c r="H65" s="7" t="s">
        <v>23</v>
      </c>
      <c r="I65" s="12">
        <f>SUMIFS('Base - Non-Payroll'!$E:$E,'Base - Non-Payroll'!$A:$A,$H65,'Base - Non-Payroll'!$B:$B,"  "&amp;$H$1)</f>
        <v>0</v>
      </c>
      <c r="J65" s="12">
        <f>SUMIFS('Base - Non-Payroll'!$H:$H,'Base - Non-Payroll'!$A:$A,$H65,'Base - Non-Payroll'!$B:$B,"  "&amp;$H$1)</f>
        <v>0</v>
      </c>
      <c r="K65" s="12">
        <f>SUMIFS('Base - Non-Payroll'!$J:$J,'Base - Non-Payroll'!$A:$A,$H65,'Base - Non-Payroll'!$B:$B,"  "&amp;$H$1)</f>
        <v>0</v>
      </c>
      <c r="L65" s="12">
        <f>SUMIFS('Base - Non-Payroll'!$L:$L,'Base - Non-Payroll'!$A:$A,$H65,'Base - Non-Payroll'!$B:$B,"  "&amp;$H$1)</f>
        <v>0</v>
      </c>
      <c r="N65" s="7" t="s">
        <v>23</v>
      </c>
      <c r="O65" s="12">
        <f>SUMIFS('Base - Non-Payroll'!$E:$E,'Base - Non-Payroll'!$A:$A,$N65,'Base - Non-Payroll'!$B:$B,"  "&amp;$N$1)</f>
        <v>0</v>
      </c>
      <c r="P65" s="12">
        <f>SUMIFS('Base - Non-Payroll'!$H:$H,'Base - Non-Payroll'!$A:$A,$N65,'Base - Non-Payroll'!$B:$B,"  "&amp;$N$1)</f>
        <v>0</v>
      </c>
      <c r="Q65" s="12">
        <f>SUMIFS('Base - Non-Payroll'!$J:$J,'Base - Non-Payroll'!$A:$A,$N65,'Base - Non-Payroll'!$B:$B,"  "&amp;$N$1)</f>
        <v>0</v>
      </c>
      <c r="R65" s="12">
        <f>SUMIFS('Base - Non-Payroll'!$L:$L,'Base - Non-Payroll'!$A:$A,$N65,'Base - Non-Payroll'!$B:$B,"  "&amp;$N$1)</f>
        <v>0</v>
      </c>
      <c r="T65" s="7" t="s">
        <v>23</v>
      </c>
      <c r="U65" s="12">
        <f>SUMIFS('Base - Non-Payroll'!$E:$E,'Base - Non-Payroll'!$A:$A,$T65,'Base - Non-Payroll'!$B:$B,"  "&amp;$T$1)</f>
        <v>0</v>
      </c>
      <c r="V65" s="12">
        <f>SUMIFS('Base - Non-Payroll'!$H:$H,'Base - Non-Payroll'!$A:$A,$T65,'Base - Non-Payroll'!$B:$B,"  "&amp;$T$1)</f>
        <v>0</v>
      </c>
      <c r="W65" s="12">
        <f>SUMIFS('Base - Non-Payroll'!$J:$J,'Base - Non-Payroll'!$A:$A,$T65,'Base - Non-Payroll'!$B:$B,"  "&amp;$T$1)</f>
        <v>0</v>
      </c>
      <c r="X65" s="12">
        <f>SUMIFS('Base - Non-Payroll'!$L:$L,'Base - Non-Payroll'!$A:$A,$T65,'Base - Non-Payroll'!$B:$B,"  "&amp;$T$1)</f>
        <v>0</v>
      </c>
      <c r="Z65" s="7" t="s">
        <v>23</v>
      </c>
      <c r="AA65" s="12">
        <f>SUMIFS('Base - Non-Payroll'!$E:$E,'Base - Non-Payroll'!$A:$A,$Z65,'Base - Non-Payroll'!$B:$B,"  "&amp;$Z$1)</f>
        <v>0</v>
      </c>
      <c r="AB65" s="12">
        <f>SUMIFS('Base - Non-Payroll'!$H:$H,'Base - Non-Payroll'!$A:$A,$Z65,'Base - Non-Payroll'!$B:$B,"  "&amp;$Z$1)</f>
        <v>0</v>
      </c>
      <c r="AC65" s="12">
        <f>SUMIFS('Base - Non-Payroll'!$J:$J,'Base - Non-Payroll'!$A:$A,$Z65,'Base - Non-Payroll'!$B:$B,"  "&amp;$Z$1)</f>
        <v>0</v>
      </c>
      <c r="AD65" s="12">
        <f>SUMIFS('Base - Non-Payroll'!$L:$L,'Base - Non-Payroll'!$A:$A,$Z65,'Base - Non-Payroll'!$B:$B,"  "&amp;$Z$1)</f>
        <v>0</v>
      </c>
    </row>
    <row r="66" spans="2:30" outlineLevel="1" x14ac:dyDescent="0.35">
      <c r="B66" s="7" t="s">
        <v>24</v>
      </c>
      <c r="C66" s="12">
        <f>SUMIFS('Base - Non-Payroll'!$E:$E,'Base - Non-Payroll'!$A:$A,Summary!$B66)</f>
        <v>0</v>
      </c>
      <c r="D66" s="12">
        <f>SUMIFS('Base - Non-Payroll'!$H:$H,'Base - Non-Payroll'!$A:$A,Summary!$B66)</f>
        <v>0</v>
      </c>
      <c r="E66" s="12">
        <f>SUMIFS('Base - Non-Payroll'!$J:$J,'Base - Non-Payroll'!$A:$A,Summary!$B66)</f>
        <v>0</v>
      </c>
      <c r="F66" s="12">
        <f>SUMIFS('Base - Non-Payroll'!$L:$L,'Base - Non-Payroll'!$A:$A,Summary!$B66)</f>
        <v>0</v>
      </c>
      <c r="H66" s="7" t="s">
        <v>24</v>
      </c>
      <c r="I66" s="12">
        <f>SUMIFS('Base - Non-Payroll'!$E:$E,'Base - Non-Payroll'!$A:$A,$H66,'Base - Non-Payroll'!$B:$B,"  "&amp;$H$1)</f>
        <v>0</v>
      </c>
      <c r="J66" s="12">
        <f>SUMIFS('Base - Non-Payroll'!$H:$H,'Base - Non-Payroll'!$A:$A,$H66,'Base - Non-Payroll'!$B:$B,"  "&amp;$H$1)</f>
        <v>0</v>
      </c>
      <c r="K66" s="12">
        <f>SUMIFS('Base - Non-Payroll'!$J:$J,'Base - Non-Payroll'!$A:$A,$H66,'Base - Non-Payroll'!$B:$B,"  "&amp;$H$1)</f>
        <v>0</v>
      </c>
      <c r="L66" s="12">
        <f>SUMIFS('Base - Non-Payroll'!$L:$L,'Base - Non-Payroll'!$A:$A,$H66,'Base - Non-Payroll'!$B:$B,"  "&amp;$H$1)</f>
        <v>0</v>
      </c>
      <c r="N66" s="7" t="s">
        <v>24</v>
      </c>
      <c r="O66" s="12">
        <f>SUMIFS('Base - Non-Payroll'!$E:$E,'Base - Non-Payroll'!$A:$A,$N66,'Base - Non-Payroll'!$B:$B,"  "&amp;$N$1)</f>
        <v>0</v>
      </c>
      <c r="P66" s="12">
        <f>SUMIFS('Base - Non-Payroll'!$H:$H,'Base - Non-Payroll'!$A:$A,$N66,'Base - Non-Payroll'!$B:$B,"  "&amp;$N$1)</f>
        <v>0</v>
      </c>
      <c r="Q66" s="12">
        <f>SUMIFS('Base - Non-Payroll'!$J:$J,'Base - Non-Payroll'!$A:$A,$N66,'Base - Non-Payroll'!$B:$B,"  "&amp;$N$1)</f>
        <v>0</v>
      </c>
      <c r="R66" s="12">
        <f>SUMIFS('Base - Non-Payroll'!$L:$L,'Base - Non-Payroll'!$A:$A,$N66,'Base - Non-Payroll'!$B:$B,"  "&amp;$N$1)</f>
        <v>0</v>
      </c>
      <c r="T66" s="7" t="s">
        <v>24</v>
      </c>
      <c r="U66" s="12">
        <f>SUMIFS('Base - Non-Payroll'!$E:$E,'Base - Non-Payroll'!$A:$A,$T66,'Base - Non-Payroll'!$B:$B,"  "&amp;$T$1)</f>
        <v>0</v>
      </c>
      <c r="V66" s="12">
        <f>SUMIFS('Base - Non-Payroll'!$H:$H,'Base - Non-Payroll'!$A:$A,$T66,'Base - Non-Payroll'!$B:$B,"  "&amp;$T$1)</f>
        <v>0</v>
      </c>
      <c r="W66" s="12">
        <f>SUMIFS('Base - Non-Payroll'!$J:$J,'Base - Non-Payroll'!$A:$A,$T66,'Base - Non-Payroll'!$B:$B,"  "&amp;$T$1)</f>
        <v>0</v>
      </c>
      <c r="X66" s="12">
        <f>SUMIFS('Base - Non-Payroll'!$L:$L,'Base - Non-Payroll'!$A:$A,$T66,'Base - Non-Payroll'!$B:$B,"  "&amp;$T$1)</f>
        <v>0</v>
      </c>
      <c r="Z66" s="7" t="s">
        <v>24</v>
      </c>
      <c r="AA66" s="12">
        <f>SUMIFS('Base - Non-Payroll'!$E:$E,'Base - Non-Payroll'!$A:$A,$Z66,'Base - Non-Payroll'!$B:$B,"  "&amp;$Z$1)</f>
        <v>0</v>
      </c>
      <c r="AB66" s="12">
        <f>SUMIFS('Base - Non-Payroll'!$H:$H,'Base - Non-Payroll'!$A:$A,$Z66,'Base - Non-Payroll'!$B:$B,"  "&amp;$Z$1)</f>
        <v>0</v>
      </c>
      <c r="AC66" s="12">
        <f>SUMIFS('Base - Non-Payroll'!$J:$J,'Base - Non-Payroll'!$A:$A,$Z66,'Base - Non-Payroll'!$B:$B,"  "&amp;$Z$1)</f>
        <v>0</v>
      </c>
      <c r="AD66" s="12">
        <f>SUMIFS('Base - Non-Payroll'!$L:$L,'Base - Non-Payroll'!$A:$A,$Z66,'Base - Non-Payroll'!$B:$B,"  "&amp;$Z$1)</f>
        <v>0</v>
      </c>
    </row>
    <row r="67" spans="2:30" outlineLevel="1" x14ac:dyDescent="0.35">
      <c r="B67" s="7" t="s">
        <v>25</v>
      </c>
      <c r="C67" s="12">
        <f>SUMIFS('Base - Non-Payroll'!$E:$E,'Base - Non-Payroll'!$A:$A,Summary!$B67)</f>
        <v>802277.72</v>
      </c>
      <c r="D67" s="12">
        <f>SUMIFS('Base - Non-Payroll'!$H:$H,'Base - Non-Payroll'!$A:$A,Summary!$B67)</f>
        <v>802277.72</v>
      </c>
      <c r="E67" s="12">
        <f>SUMIFS('Base - Non-Payroll'!$J:$J,'Base - Non-Payroll'!$A:$A,Summary!$B67)</f>
        <v>802277.72</v>
      </c>
      <c r="F67" s="12">
        <f>SUMIFS('Base - Non-Payroll'!$L:$L,'Base - Non-Payroll'!$A:$A,Summary!$B67)</f>
        <v>802277.72</v>
      </c>
      <c r="H67" s="7" t="s">
        <v>25</v>
      </c>
      <c r="I67" s="12">
        <f>SUMIFS('Base - Non-Payroll'!$E:$E,'Base - Non-Payroll'!$A:$A,$H67,'Base - Non-Payroll'!$B:$B,"  "&amp;$H$1)</f>
        <v>611438.72</v>
      </c>
      <c r="J67" s="12">
        <f>SUMIFS('Base - Non-Payroll'!$H:$H,'Base - Non-Payroll'!$A:$A,$H67,'Base - Non-Payroll'!$B:$B,"  "&amp;$H$1)</f>
        <v>611438.72</v>
      </c>
      <c r="K67" s="12">
        <f>SUMIFS('Base - Non-Payroll'!$J:$J,'Base - Non-Payroll'!$A:$A,$H67,'Base - Non-Payroll'!$B:$B,"  "&amp;$H$1)</f>
        <v>611438.72</v>
      </c>
      <c r="L67" s="12">
        <f>SUMIFS('Base - Non-Payroll'!$L:$L,'Base - Non-Payroll'!$A:$A,$H67,'Base - Non-Payroll'!$B:$B,"  "&amp;$H$1)</f>
        <v>611438.72</v>
      </c>
      <c r="N67" s="7" t="s">
        <v>25</v>
      </c>
      <c r="O67" s="12">
        <f>SUMIFS('Base - Non-Payroll'!$E:$E,'Base - Non-Payroll'!$A:$A,$N67,'Base - Non-Payroll'!$B:$B,"  "&amp;$N$1)</f>
        <v>5008</v>
      </c>
      <c r="P67" s="12">
        <f>SUMIFS('Base - Non-Payroll'!$H:$H,'Base - Non-Payroll'!$A:$A,$N67,'Base - Non-Payroll'!$B:$B,"  "&amp;$N$1)</f>
        <v>5008</v>
      </c>
      <c r="Q67" s="12">
        <f>SUMIFS('Base - Non-Payroll'!$J:$J,'Base - Non-Payroll'!$A:$A,$N67,'Base - Non-Payroll'!$B:$B,"  "&amp;$N$1)</f>
        <v>5008</v>
      </c>
      <c r="R67" s="12">
        <f>SUMIFS('Base - Non-Payroll'!$L:$L,'Base - Non-Payroll'!$A:$A,$N67,'Base - Non-Payroll'!$B:$B,"  "&amp;$N$1)</f>
        <v>5008</v>
      </c>
      <c r="T67" s="7" t="s">
        <v>25</v>
      </c>
      <c r="U67" s="12">
        <f>SUMIFS('Base - Non-Payroll'!$E:$E,'Base - Non-Payroll'!$A:$A,$T67,'Base - Non-Payroll'!$B:$B,"  "&amp;$T$1)</f>
        <v>140831</v>
      </c>
      <c r="V67" s="12">
        <f>SUMIFS('Base - Non-Payroll'!$H:$H,'Base - Non-Payroll'!$A:$A,$T67,'Base - Non-Payroll'!$B:$B,"  "&amp;$T$1)</f>
        <v>140831</v>
      </c>
      <c r="W67" s="12">
        <f>SUMIFS('Base - Non-Payroll'!$J:$J,'Base - Non-Payroll'!$A:$A,$T67,'Base - Non-Payroll'!$B:$B,"  "&amp;$T$1)</f>
        <v>140831</v>
      </c>
      <c r="X67" s="12">
        <f>SUMIFS('Base - Non-Payroll'!$L:$L,'Base - Non-Payroll'!$A:$A,$T67,'Base - Non-Payroll'!$B:$B,"  "&amp;$T$1)</f>
        <v>140831</v>
      </c>
      <c r="Z67" s="7" t="s">
        <v>25</v>
      </c>
      <c r="AA67" s="12">
        <f>SUMIFS('Base - Non-Payroll'!$E:$E,'Base - Non-Payroll'!$A:$A,$Z67,'Base - Non-Payroll'!$B:$B,"  "&amp;$Z$1)</f>
        <v>45000</v>
      </c>
      <c r="AB67" s="12">
        <f>SUMIFS('Base - Non-Payroll'!$H:$H,'Base - Non-Payroll'!$A:$A,$Z67,'Base - Non-Payroll'!$B:$B,"  "&amp;$Z$1)</f>
        <v>45000</v>
      </c>
      <c r="AC67" s="12">
        <f>SUMIFS('Base - Non-Payroll'!$J:$J,'Base - Non-Payroll'!$A:$A,$Z67,'Base - Non-Payroll'!$B:$B,"  "&amp;$Z$1)</f>
        <v>45000</v>
      </c>
      <c r="AD67" s="12">
        <f>SUMIFS('Base - Non-Payroll'!$L:$L,'Base - Non-Payroll'!$A:$A,$Z67,'Base - Non-Payroll'!$B:$B,"  "&amp;$Z$1)</f>
        <v>45000</v>
      </c>
    </row>
    <row r="68" spans="2:30" outlineLevel="1" x14ac:dyDescent="0.35">
      <c r="B68" s="7" t="s">
        <v>26</v>
      </c>
      <c r="C68" s="12">
        <f>SUMIFS('Base - Non-Payroll'!$E:$E,'Base - Non-Payroll'!$A:$A,Summary!$B68)</f>
        <v>0</v>
      </c>
      <c r="D68" s="12">
        <f>SUMIFS('Base - Non-Payroll'!$H:$H,'Base - Non-Payroll'!$A:$A,Summary!$B68)</f>
        <v>0</v>
      </c>
      <c r="E68" s="12">
        <f>SUMIFS('Base - Non-Payroll'!$J:$J,'Base - Non-Payroll'!$A:$A,Summary!$B68)</f>
        <v>0</v>
      </c>
      <c r="F68" s="12">
        <f>SUMIFS('Base - Non-Payroll'!$L:$L,'Base - Non-Payroll'!$A:$A,Summary!$B68)</f>
        <v>0</v>
      </c>
      <c r="H68" s="7" t="s">
        <v>26</v>
      </c>
      <c r="I68" s="12">
        <f>SUMIFS('Base - Non-Payroll'!$E:$E,'Base - Non-Payroll'!$A:$A,$H68,'Base - Non-Payroll'!$B:$B,"  "&amp;$H$1)</f>
        <v>0</v>
      </c>
      <c r="J68" s="12">
        <f>SUMIFS('Base - Non-Payroll'!$H:$H,'Base - Non-Payroll'!$A:$A,$H68,'Base - Non-Payroll'!$B:$B,"  "&amp;$H$1)</f>
        <v>0</v>
      </c>
      <c r="K68" s="12">
        <f>SUMIFS('Base - Non-Payroll'!$J:$J,'Base - Non-Payroll'!$A:$A,$H68,'Base - Non-Payroll'!$B:$B,"  "&amp;$H$1)</f>
        <v>0</v>
      </c>
      <c r="L68" s="12">
        <f>SUMIFS('Base - Non-Payroll'!$L:$L,'Base - Non-Payroll'!$A:$A,$H68,'Base - Non-Payroll'!$B:$B,"  "&amp;$H$1)</f>
        <v>0</v>
      </c>
      <c r="N68" s="7" t="s">
        <v>26</v>
      </c>
      <c r="O68" s="12">
        <f>SUMIFS('Base - Non-Payroll'!$E:$E,'Base - Non-Payroll'!$A:$A,$N68,'Base - Non-Payroll'!$B:$B,"  "&amp;$N$1)</f>
        <v>0</v>
      </c>
      <c r="P68" s="12">
        <f>SUMIFS('Base - Non-Payroll'!$H:$H,'Base - Non-Payroll'!$A:$A,$N68,'Base - Non-Payroll'!$B:$B,"  "&amp;$N$1)</f>
        <v>0</v>
      </c>
      <c r="Q68" s="12">
        <f>SUMIFS('Base - Non-Payroll'!$J:$J,'Base - Non-Payroll'!$A:$A,$N68,'Base - Non-Payroll'!$B:$B,"  "&amp;$N$1)</f>
        <v>0</v>
      </c>
      <c r="R68" s="12">
        <f>SUMIFS('Base - Non-Payroll'!$L:$L,'Base - Non-Payroll'!$A:$A,$N68,'Base - Non-Payroll'!$B:$B,"  "&amp;$N$1)</f>
        <v>0</v>
      </c>
      <c r="T68" s="7" t="s">
        <v>26</v>
      </c>
      <c r="U68" s="12">
        <f>SUMIFS('Base - Non-Payroll'!$E:$E,'Base - Non-Payroll'!$A:$A,$T68,'Base - Non-Payroll'!$B:$B,"  "&amp;$T$1)</f>
        <v>0</v>
      </c>
      <c r="V68" s="12">
        <f>SUMIFS('Base - Non-Payroll'!$H:$H,'Base - Non-Payroll'!$A:$A,$T68,'Base - Non-Payroll'!$B:$B,"  "&amp;$T$1)</f>
        <v>0</v>
      </c>
      <c r="W68" s="12">
        <f>SUMIFS('Base - Non-Payroll'!$J:$J,'Base - Non-Payroll'!$A:$A,$T68,'Base - Non-Payroll'!$B:$B,"  "&amp;$T$1)</f>
        <v>0</v>
      </c>
      <c r="X68" s="12">
        <f>SUMIFS('Base - Non-Payroll'!$L:$L,'Base - Non-Payroll'!$A:$A,$T68,'Base - Non-Payroll'!$B:$B,"  "&amp;$T$1)</f>
        <v>0</v>
      </c>
      <c r="Z68" s="7" t="s">
        <v>26</v>
      </c>
      <c r="AA68" s="12">
        <f>SUMIFS('Base - Non-Payroll'!$E:$E,'Base - Non-Payroll'!$A:$A,$Z68,'Base - Non-Payroll'!$B:$B,"  "&amp;$Z$1)</f>
        <v>0</v>
      </c>
      <c r="AB68" s="12">
        <f>SUMIFS('Base - Non-Payroll'!$H:$H,'Base - Non-Payroll'!$A:$A,$Z68,'Base - Non-Payroll'!$B:$B,"  "&amp;$Z$1)</f>
        <v>0</v>
      </c>
      <c r="AC68" s="12">
        <f>SUMIFS('Base - Non-Payroll'!$J:$J,'Base - Non-Payroll'!$A:$A,$Z68,'Base - Non-Payroll'!$B:$B,"  "&amp;$Z$1)</f>
        <v>0</v>
      </c>
      <c r="AD68" s="12">
        <f>SUMIFS('Base - Non-Payroll'!$L:$L,'Base - Non-Payroll'!$A:$A,$Z68,'Base - Non-Payroll'!$B:$B,"  "&amp;$Z$1)</f>
        <v>0</v>
      </c>
    </row>
    <row r="69" spans="2:30" outlineLevel="1" x14ac:dyDescent="0.35">
      <c r="B69" s="7" t="s">
        <v>27</v>
      </c>
      <c r="C69" s="12">
        <f>SUMIFS('Base - Non-Payroll'!$E:$E,'Base - Non-Payroll'!$A:$A,Summary!$B69)</f>
        <v>3.55</v>
      </c>
      <c r="D69" s="12">
        <f>SUMIFS('Base - Non-Payroll'!$H:$H,'Base - Non-Payroll'!$A:$A,Summary!$B69)</f>
        <v>3.55</v>
      </c>
      <c r="E69" s="12">
        <f>SUMIFS('Base - Non-Payroll'!$J:$J,'Base - Non-Payroll'!$A:$A,Summary!$B69)</f>
        <v>3.55</v>
      </c>
      <c r="F69" s="12">
        <f>SUMIFS('Base - Non-Payroll'!$L:$L,'Base - Non-Payroll'!$A:$A,Summary!$B69)</f>
        <v>3.55</v>
      </c>
      <c r="H69" s="7" t="s">
        <v>27</v>
      </c>
      <c r="I69" s="12">
        <f>SUMIFS('Base - Non-Payroll'!$E:$E,'Base - Non-Payroll'!$A:$A,$H69,'Base - Non-Payroll'!$B:$B,"  "&amp;$H$1)</f>
        <v>3.55</v>
      </c>
      <c r="J69" s="12">
        <f>SUMIFS('Base - Non-Payroll'!$H:$H,'Base - Non-Payroll'!$A:$A,$H69,'Base - Non-Payroll'!$B:$B,"  "&amp;$H$1)</f>
        <v>3.55</v>
      </c>
      <c r="K69" s="12">
        <f>SUMIFS('Base - Non-Payroll'!$J:$J,'Base - Non-Payroll'!$A:$A,$H69,'Base - Non-Payroll'!$B:$B,"  "&amp;$H$1)</f>
        <v>3.55</v>
      </c>
      <c r="L69" s="12">
        <f>SUMIFS('Base - Non-Payroll'!$L:$L,'Base - Non-Payroll'!$A:$A,$H69,'Base - Non-Payroll'!$B:$B,"  "&amp;$H$1)</f>
        <v>3.55</v>
      </c>
      <c r="N69" s="7" t="s">
        <v>27</v>
      </c>
      <c r="O69" s="12">
        <f>SUMIFS('Base - Non-Payroll'!$E:$E,'Base - Non-Payroll'!$A:$A,$N69,'Base - Non-Payroll'!$B:$B,"  "&amp;$N$1)</f>
        <v>0</v>
      </c>
      <c r="P69" s="12">
        <f>SUMIFS('Base - Non-Payroll'!$H:$H,'Base - Non-Payroll'!$A:$A,$N69,'Base - Non-Payroll'!$B:$B,"  "&amp;$N$1)</f>
        <v>0</v>
      </c>
      <c r="Q69" s="12">
        <f>SUMIFS('Base - Non-Payroll'!$J:$J,'Base - Non-Payroll'!$A:$A,$N69,'Base - Non-Payroll'!$B:$B,"  "&amp;$N$1)</f>
        <v>0</v>
      </c>
      <c r="R69" s="12">
        <f>SUMIFS('Base - Non-Payroll'!$L:$L,'Base - Non-Payroll'!$A:$A,$N69,'Base - Non-Payroll'!$B:$B,"  "&amp;$N$1)</f>
        <v>0</v>
      </c>
      <c r="T69" s="7" t="s">
        <v>27</v>
      </c>
      <c r="U69" s="12">
        <f>SUMIFS('Base - Non-Payroll'!$E:$E,'Base - Non-Payroll'!$A:$A,$T69,'Base - Non-Payroll'!$B:$B,"  "&amp;$T$1)</f>
        <v>0</v>
      </c>
      <c r="V69" s="12">
        <f>SUMIFS('Base - Non-Payroll'!$H:$H,'Base - Non-Payroll'!$A:$A,$T69,'Base - Non-Payroll'!$B:$B,"  "&amp;$T$1)</f>
        <v>0</v>
      </c>
      <c r="W69" s="12">
        <f>SUMIFS('Base - Non-Payroll'!$J:$J,'Base - Non-Payroll'!$A:$A,$T69,'Base - Non-Payroll'!$B:$B,"  "&amp;$T$1)</f>
        <v>0</v>
      </c>
      <c r="X69" s="12">
        <f>SUMIFS('Base - Non-Payroll'!$L:$L,'Base - Non-Payroll'!$A:$A,$T69,'Base - Non-Payroll'!$B:$B,"  "&amp;$T$1)</f>
        <v>0</v>
      </c>
      <c r="Z69" s="7" t="s">
        <v>27</v>
      </c>
      <c r="AA69" s="12">
        <f>SUMIFS('Base - Non-Payroll'!$E:$E,'Base - Non-Payroll'!$A:$A,$Z69,'Base - Non-Payroll'!$B:$B,"  "&amp;$Z$1)</f>
        <v>0</v>
      </c>
      <c r="AB69" s="12">
        <f>SUMIFS('Base - Non-Payroll'!$H:$H,'Base - Non-Payroll'!$A:$A,$Z69,'Base - Non-Payroll'!$B:$B,"  "&amp;$Z$1)</f>
        <v>0</v>
      </c>
      <c r="AC69" s="12">
        <f>SUMIFS('Base - Non-Payroll'!$J:$J,'Base - Non-Payroll'!$A:$A,$Z69,'Base - Non-Payroll'!$B:$B,"  "&amp;$Z$1)</f>
        <v>0</v>
      </c>
      <c r="AD69" s="12">
        <f>SUMIFS('Base - Non-Payroll'!$L:$L,'Base - Non-Payroll'!$A:$A,$Z69,'Base - Non-Payroll'!$B:$B,"  "&amp;$Z$1)</f>
        <v>0</v>
      </c>
    </row>
    <row r="70" spans="2:30" outlineLevel="1" x14ac:dyDescent="0.35">
      <c r="B70" s="7" t="s">
        <v>28</v>
      </c>
      <c r="C70" s="12">
        <f>SUMIFS('Base - Non-Payroll'!$E:$E,'Base - Non-Payroll'!$A:$A,Summary!$B70)</f>
        <v>0</v>
      </c>
      <c r="D70" s="12">
        <f>SUMIFS('Base - Non-Payroll'!$H:$H,'Base - Non-Payroll'!$A:$A,Summary!$B70)</f>
        <v>0</v>
      </c>
      <c r="E70" s="12">
        <f>SUMIFS('Base - Non-Payroll'!$J:$J,'Base - Non-Payroll'!$A:$A,Summary!$B70)</f>
        <v>0</v>
      </c>
      <c r="F70" s="12">
        <f>SUMIFS('Base - Non-Payroll'!$L:$L,'Base - Non-Payroll'!$A:$A,Summary!$B70)</f>
        <v>0</v>
      </c>
      <c r="H70" s="7" t="s">
        <v>28</v>
      </c>
      <c r="I70" s="12">
        <f>SUMIFS('Base - Non-Payroll'!$E:$E,'Base - Non-Payroll'!$A:$A,$H70,'Base - Non-Payroll'!$B:$B,"  "&amp;$H$1)</f>
        <v>0</v>
      </c>
      <c r="J70" s="12">
        <f>SUMIFS('Base - Non-Payroll'!$H:$H,'Base - Non-Payroll'!$A:$A,$H70,'Base - Non-Payroll'!$B:$B,"  "&amp;$H$1)</f>
        <v>0</v>
      </c>
      <c r="K70" s="12">
        <f>SUMIFS('Base - Non-Payroll'!$J:$J,'Base - Non-Payroll'!$A:$A,$H70,'Base - Non-Payroll'!$B:$B,"  "&amp;$H$1)</f>
        <v>0</v>
      </c>
      <c r="L70" s="12">
        <f>SUMIFS('Base - Non-Payroll'!$L:$L,'Base - Non-Payroll'!$A:$A,$H70,'Base - Non-Payroll'!$B:$B,"  "&amp;$H$1)</f>
        <v>0</v>
      </c>
      <c r="N70" s="7" t="s">
        <v>28</v>
      </c>
      <c r="O70" s="12">
        <f>SUMIFS('Base - Non-Payroll'!$E:$E,'Base - Non-Payroll'!$A:$A,$N70,'Base - Non-Payroll'!$B:$B,"  "&amp;$N$1)</f>
        <v>0</v>
      </c>
      <c r="P70" s="12">
        <f>SUMIFS('Base - Non-Payroll'!$H:$H,'Base - Non-Payroll'!$A:$A,$N70,'Base - Non-Payroll'!$B:$B,"  "&amp;$N$1)</f>
        <v>0</v>
      </c>
      <c r="Q70" s="12">
        <f>SUMIFS('Base - Non-Payroll'!$J:$J,'Base - Non-Payroll'!$A:$A,$N70,'Base - Non-Payroll'!$B:$B,"  "&amp;$N$1)</f>
        <v>0</v>
      </c>
      <c r="R70" s="12">
        <f>SUMIFS('Base - Non-Payroll'!$L:$L,'Base - Non-Payroll'!$A:$A,$N70,'Base - Non-Payroll'!$B:$B,"  "&amp;$N$1)</f>
        <v>0</v>
      </c>
      <c r="T70" s="7" t="s">
        <v>28</v>
      </c>
      <c r="U70" s="12">
        <f>SUMIFS('Base - Non-Payroll'!$E:$E,'Base - Non-Payroll'!$A:$A,$T70,'Base - Non-Payroll'!$B:$B,"  "&amp;$T$1)</f>
        <v>0</v>
      </c>
      <c r="V70" s="12">
        <f>SUMIFS('Base - Non-Payroll'!$H:$H,'Base - Non-Payroll'!$A:$A,$T70,'Base - Non-Payroll'!$B:$B,"  "&amp;$T$1)</f>
        <v>0</v>
      </c>
      <c r="W70" s="12">
        <f>SUMIFS('Base - Non-Payroll'!$J:$J,'Base - Non-Payroll'!$A:$A,$T70,'Base - Non-Payroll'!$B:$B,"  "&amp;$T$1)</f>
        <v>0</v>
      </c>
      <c r="X70" s="12">
        <f>SUMIFS('Base - Non-Payroll'!$L:$L,'Base - Non-Payroll'!$A:$A,$T70,'Base - Non-Payroll'!$B:$B,"  "&amp;$T$1)</f>
        <v>0</v>
      </c>
      <c r="Z70" s="7" t="s">
        <v>28</v>
      </c>
      <c r="AA70" s="12">
        <f>SUMIFS('Base - Non-Payroll'!$E:$E,'Base - Non-Payroll'!$A:$A,$Z70,'Base - Non-Payroll'!$B:$B,"  "&amp;$Z$1)</f>
        <v>0</v>
      </c>
      <c r="AB70" s="12">
        <f>SUMIFS('Base - Non-Payroll'!$H:$H,'Base - Non-Payroll'!$A:$A,$Z70,'Base - Non-Payroll'!$B:$B,"  "&amp;$Z$1)</f>
        <v>0</v>
      </c>
      <c r="AC70" s="12">
        <f>SUMIFS('Base - Non-Payroll'!$J:$J,'Base - Non-Payroll'!$A:$A,$Z70,'Base - Non-Payroll'!$B:$B,"  "&amp;$Z$1)</f>
        <v>0</v>
      </c>
      <c r="AD70" s="12">
        <f>SUMIFS('Base - Non-Payroll'!$L:$L,'Base - Non-Payroll'!$A:$A,$Z70,'Base - Non-Payroll'!$B:$B,"  "&amp;$Z$1)</f>
        <v>0</v>
      </c>
    </row>
    <row r="71" spans="2:30" outlineLevel="1" x14ac:dyDescent="0.35">
      <c r="B71" s="7" t="s">
        <v>8</v>
      </c>
      <c r="C71" s="12">
        <f>SUMIFS('Base - Non-Payroll'!$E:$E,'Base - Non-Payroll'!$A:$A,Summary!$B71)</f>
        <v>0</v>
      </c>
      <c r="D71" s="12">
        <f>SUMIFS('Base - Non-Payroll'!$H:$H,'Base - Non-Payroll'!$A:$A,Summary!$B71)</f>
        <v>0</v>
      </c>
      <c r="E71" s="12">
        <f>SUMIFS('Base - Non-Payroll'!$J:$J,'Base - Non-Payroll'!$A:$A,Summary!$B71)</f>
        <v>0</v>
      </c>
      <c r="F71" s="12">
        <f>SUMIFS('Base - Non-Payroll'!$L:$L,'Base - Non-Payroll'!$A:$A,Summary!$B71)</f>
        <v>0</v>
      </c>
      <c r="H71" s="7" t="s">
        <v>8</v>
      </c>
      <c r="I71" s="12">
        <f>SUMIFS('Base - Non-Payroll'!$E:$E,'Base - Non-Payroll'!$A:$A,$H71,'Base - Non-Payroll'!$B:$B,"  "&amp;$H$1)</f>
        <v>0</v>
      </c>
      <c r="J71" s="12">
        <f>SUMIFS('Base - Non-Payroll'!$H:$H,'Base - Non-Payroll'!$A:$A,$H71,'Base - Non-Payroll'!$B:$B,"  "&amp;$H$1)</f>
        <v>0</v>
      </c>
      <c r="K71" s="12">
        <f>SUMIFS('Base - Non-Payroll'!$J:$J,'Base - Non-Payroll'!$A:$A,$H71,'Base - Non-Payroll'!$B:$B,"  "&amp;$H$1)</f>
        <v>0</v>
      </c>
      <c r="L71" s="12">
        <f>SUMIFS('Base - Non-Payroll'!$L:$L,'Base - Non-Payroll'!$A:$A,$H71,'Base - Non-Payroll'!$B:$B,"  "&amp;$H$1)</f>
        <v>0</v>
      </c>
      <c r="N71" s="7" t="s">
        <v>8</v>
      </c>
      <c r="O71" s="12">
        <f>SUMIFS('Base - Non-Payroll'!$E:$E,'Base - Non-Payroll'!$A:$A,$N71,'Base - Non-Payroll'!$B:$B,"  "&amp;$N$1)</f>
        <v>0</v>
      </c>
      <c r="P71" s="12">
        <f>SUMIFS('Base - Non-Payroll'!$H:$H,'Base - Non-Payroll'!$A:$A,$N71,'Base - Non-Payroll'!$B:$B,"  "&amp;$N$1)</f>
        <v>0</v>
      </c>
      <c r="Q71" s="12">
        <f>SUMIFS('Base - Non-Payroll'!$J:$J,'Base - Non-Payroll'!$A:$A,$N71,'Base - Non-Payroll'!$B:$B,"  "&amp;$N$1)</f>
        <v>0</v>
      </c>
      <c r="R71" s="12">
        <f>SUMIFS('Base - Non-Payroll'!$L:$L,'Base - Non-Payroll'!$A:$A,$N71,'Base - Non-Payroll'!$B:$B,"  "&amp;$N$1)</f>
        <v>0</v>
      </c>
      <c r="T71" s="7" t="s">
        <v>8</v>
      </c>
      <c r="U71" s="12">
        <f>SUMIFS('Base - Non-Payroll'!$E:$E,'Base - Non-Payroll'!$A:$A,$T71,'Base - Non-Payroll'!$B:$B,"  "&amp;$T$1)</f>
        <v>0</v>
      </c>
      <c r="V71" s="12">
        <f>SUMIFS('Base - Non-Payroll'!$H:$H,'Base - Non-Payroll'!$A:$A,$T71,'Base - Non-Payroll'!$B:$B,"  "&amp;$T$1)</f>
        <v>0</v>
      </c>
      <c r="W71" s="12">
        <f>SUMIFS('Base - Non-Payroll'!$J:$J,'Base - Non-Payroll'!$A:$A,$T71,'Base - Non-Payroll'!$B:$B,"  "&amp;$T$1)</f>
        <v>0</v>
      </c>
      <c r="X71" s="12">
        <f>SUMIFS('Base - Non-Payroll'!$L:$L,'Base - Non-Payroll'!$A:$A,$T71,'Base - Non-Payroll'!$B:$B,"  "&amp;$T$1)</f>
        <v>0</v>
      </c>
      <c r="Z71" s="7" t="s">
        <v>8</v>
      </c>
      <c r="AA71" s="12">
        <f>SUMIFS('Base - Non-Payroll'!$E:$E,'Base - Non-Payroll'!$A:$A,$Z71,'Base - Non-Payroll'!$B:$B,"  "&amp;$Z$1)</f>
        <v>0</v>
      </c>
      <c r="AB71" s="12">
        <f>SUMIFS('Base - Non-Payroll'!$H:$H,'Base - Non-Payroll'!$A:$A,$Z71,'Base - Non-Payroll'!$B:$B,"  "&amp;$Z$1)</f>
        <v>0</v>
      </c>
      <c r="AC71" s="12">
        <f>SUMIFS('Base - Non-Payroll'!$J:$J,'Base - Non-Payroll'!$A:$A,$Z71,'Base - Non-Payroll'!$B:$B,"  "&amp;$Z$1)</f>
        <v>0</v>
      </c>
      <c r="AD71" s="12">
        <f>SUMIFS('Base - Non-Payroll'!$L:$L,'Base - Non-Payroll'!$A:$A,$Z71,'Base - Non-Payroll'!$B:$B,"  "&amp;$Z$1)</f>
        <v>0</v>
      </c>
    </row>
    <row r="72" spans="2:30" outlineLevel="1" x14ac:dyDescent="0.35">
      <c r="B72" s="7" t="s">
        <v>29</v>
      </c>
      <c r="C72" s="12">
        <f>SUMIFS('Base - Non-Payroll'!$E:$E,'Base - Non-Payroll'!$A:$A,Summary!$B72)</f>
        <v>0</v>
      </c>
      <c r="D72" s="12">
        <f>SUMIFS('Base - Non-Payroll'!$H:$H,'Base - Non-Payroll'!$A:$A,Summary!$B72)</f>
        <v>0</v>
      </c>
      <c r="E72" s="12">
        <f>SUMIFS('Base - Non-Payroll'!$J:$J,'Base - Non-Payroll'!$A:$A,Summary!$B72)</f>
        <v>0</v>
      </c>
      <c r="F72" s="12">
        <f>SUMIFS('Base - Non-Payroll'!$L:$L,'Base - Non-Payroll'!$A:$A,Summary!$B72)</f>
        <v>0</v>
      </c>
      <c r="H72" s="7" t="s">
        <v>29</v>
      </c>
      <c r="I72" s="12">
        <f>SUMIFS('Base - Non-Payroll'!$E:$E,'Base - Non-Payroll'!$A:$A,$H72,'Base - Non-Payroll'!$B:$B,"  "&amp;$H$1)</f>
        <v>0</v>
      </c>
      <c r="J72" s="12">
        <f>SUMIFS('Base - Non-Payroll'!$H:$H,'Base - Non-Payroll'!$A:$A,$H72,'Base - Non-Payroll'!$B:$B,"  "&amp;$H$1)</f>
        <v>0</v>
      </c>
      <c r="K72" s="12">
        <f>SUMIFS('Base - Non-Payroll'!$J:$J,'Base - Non-Payroll'!$A:$A,$H72,'Base - Non-Payroll'!$B:$B,"  "&amp;$H$1)</f>
        <v>0</v>
      </c>
      <c r="L72" s="12">
        <f>SUMIFS('Base - Non-Payroll'!$L:$L,'Base - Non-Payroll'!$A:$A,$H72,'Base - Non-Payroll'!$B:$B,"  "&amp;$H$1)</f>
        <v>0</v>
      </c>
      <c r="N72" s="7" t="s">
        <v>29</v>
      </c>
      <c r="O72" s="12">
        <f>SUMIFS('Base - Non-Payroll'!$E:$E,'Base - Non-Payroll'!$A:$A,$N72,'Base - Non-Payroll'!$B:$B,"  "&amp;$N$1)</f>
        <v>0</v>
      </c>
      <c r="P72" s="12">
        <f>SUMIFS('Base - Non-Payroll'!$H:$H,'Base - Non-Payroll'!$A:$A,$N72,'Base - Non-Payroll'!$B:$B,"  "&amp;$N$1)</f>
        <v>0</v>
      </c>
      <c r="Q72" s="12">
        <f>SUMIFS('Base - Non-Payroll'!$J:$J,'Base - Non-Payroll'!$A:$A,$N72,'Base - Non-Payroll'!$B:$B,"  "&amp;$N$1)</f>
        <v>0</v>
      </c>
      <c r="R72" s="12">
        <f>SUMIFS('Base - Non-Payroll'!$L:$L,'Base - Non-Payroll'!$A:$A,$N72,'Base - Non-Payroll'!$B:$B,"  "&amp;$N$1)</f>
        <v>0</v>
      </c>
      <c r="T72" s="7" t="s">
        <v>29</v>
      </c>
      <c r="U72" s="12">
        <f>SUMIFS('Base - Non-Payroll'!$E:$E,'Base - Non-Payroll'!$A:$A,$T72,'Base - Non-Payroll'!$B:$B,"  "&amp;$T$1)</f>
        <v>0</v>
      </c>
      <c r="V72" s="12">
        <f>SUMIFS('Base - Non-Payroll'!$H:$H,'Base - Non-Payroll'!$A:$A,$T72,'Base - Non-Payroll'!$B:$B,"  "&amp;$T$1)</f>
        <v>0</v>
      </c>
      <c r="W72" s="12">
        <f>SUMIFS('Base - Non-Payroll'!$J:$J,'Base - Non-Payroll'!$A:$A,$T72,'Base - Non-Payroll'!$B:$B,"  "&amp;$T$1)</f>
        <v>0</v>
      </c>
      <c r="X72" s="12">
        <f>SUMIFS('Base - Non-Payroll'!$L:$L,'Base - Non-Payroll'!$A:$A,$T72,'Base - Non-Payroll'!$B:$B,"  "&amp;$T$1)</f>
        <v>0</v>
      </c>
      <c r="Z72" s="7" t="s">
        <v>29</v>
      </c>
      <c r="AA72" s="12">
        <f>SUMIFS('Base - Non-Payroll'!$E:$E,'Base - Non-Payroll'!$A:$A,$Z72,'Base - Non-Payroll'!$B:$B,"  "&amp;$Z$1)</f>
        <v>0</v>
      </c>
      <c r="AB72" s="12">
        <f>SUMIFS('Base - Non-Payroll'!$H:$H,'Base - Non-Payroll'!$A:$A,$Z72,'Base - Non-Payroll'!$B:$B,"  "&amp;$Z$1)</f>
        <v>0</v>
      </c>
      <c r="AC72" s="12">
        <f>SUMIFS('Base - Non-Payroll'!$J:$J,'Base - Non-Payroll'!$A:$A,$Z72,'Base - Non-Payroll'!$B:$B,"  "&amp;$Z$1)</f>
        <v>0</v>
      </c>
      <c r="AD72" s="12">
        <f>SUMIFS('Base - Non-Payroll'!$L:$L,'Base - Non-Payroll'!$A:$A,$Z72,'Base - Non-Payroll'!$B:$B,"  "&amp;$Z$1)</f>
        <v>0</v>
      </c>
    </row>
    <row r="73" spans="2:30" outlineLevel="1" x14ac:dyDescent="0.35">
      <c r="B73" s="7" t="s">
        <v>30</v>
      </c>
      <c r="C73" s="12">
        <f>SUMIFS('Base - Non-Payroll'!$E:$E,'Base - Non-Payroll'!$A:$A,Summary!$B73)</f>
        <v>0</v>
      </c>
      <c r="D73" s="12">
        <f>SUMIFS('Base - Non-Payroll'!$H:$H,'Base - Non-Payroll'!$A:$A,Summary!$B73)</f>
        <v>0</v>
      </c>
      <c r="E73" s="12">
        <f>SUMIFS('Base - Non-Payroll'!$J:$J,'Base - Non-Payroll'!$A:$A,Summary!$B73)</f>
        <v>0</v>
      </c>
      <c r="F73" s="12">
        <f>SUMIFS('Base - Non-Payroll'!$L:$L,'Base - Non-Payroll'!$A:$A,Summary!$B73)</f>
        <v>0</v>
      </c>
      <c r="H73" s="7" t="s">
        <v>30</v>
      </c>
      <c r="I73" s="12">
        <f>SUMIFS('Base - Non-Payroll'!$E:$E,'Base - Non-Payroll'!$A:$A,$H73,'Base - Non-Payroll'!$B:$B,"  "&amp;$H$1)</f>
        <v>0</v>
      </c>
      <c r="J73" s="12">
        <f>SUMIFS('Base - Non-Payroll'!$H:$H,'Base - Non-Payroll'!$A:$A,$H73,'Base - Non-Payroll'!$B:$B,"  "&amp;$H$1)</f>
        <v>0</v>
      </c>
      <c r="K73" s="12">
        <f>SUMIFS('Base - Non-Payroll'!$J:$J,'Base - Non-Payroll'!$A:$A,$H73,'Base - Non-Payroll'!$B:$B,"  "&amp;$H$1)</f>
        <v>0</v>
      </c>
      <c r="L73" s="12">
        <f>SUMIFS('Base - Non-Payroll'!$L:$L,'Base - Non-Payroll'!$A:$A,$H73,'Base - Non-Payroll'!$B:$B,"  "&amp;$H$1)</f>
        <v>0</v>
      </c>
      <c r="N73" s="7" t="s">
        <v>30</v>
      </c>
      <c r="O73" s="12">
        <f>SUMIFS('Base - Non-Payroll'!$E:$E,'Base - Non-Payroll'!$A:$A,$N73,'Base - Non-Payroll'!$B:$B,"  "&amp;$N$1)</f>
        <v>0</v>
      </c>
      <c r="P73" s="12">
        <f>SUMIFS('Base - Non-Payroll'!$H:$H,'Base - Non-Payroll'!$A:$A,$N73,'Base - Non-Payroll'!$B:$B,"  "&amp;$N$1)</f>
        <v>0</v>
      </c>
      <c r="Q73" s="12">
        <f>SUMIFS('Base - Non-Payroll'!$J:$J,'Base - Non-Payroll'!$A:$A,$N73,'Base - Non-Payroll'!$B:$B,"  "&amp;$N$1)</f>
        <v>0</v>
      </c>
      <c r="R73" s="12">
        <f>SUMIFS('Base - Non-Payroll'!$L:$L,'Base - Non-Payroll'!$A:$A,$N73,'Base - Non-Payroll'!$B:$B,"  "&amp;$N$1)</f>
        <v>0</v>
      </c>
      <c r="T73" s="7" t="s">
        <v>30</v>
      </c>
      <c r="U73" s="12">
        <f>SUMIFS('Base - Non-Payroll'!$E:$E,'Base - Non-Payroll'!$A:$A,$T73,'Base - Non-Payroll'!$B:$B,"  "&amp;$T$1)</f>
        <v>0</v>
      </c>
      <c r="V73" s="12">
        <f>SUMIFS('Base - Non-Payroll'!$H:$H,'Base - Non-Payroll'!$A:$A,$T73,'Base - Non-Payroll'!$B:$B,"  "&amp;$T$1)</f>
        <v>0</v>
      </c>
      <c r="W73" s="12">
        <f>SUMIFS('Base - Non-Payroll'!$J:$J,'Base - Non-Payroll'!$A:$A,$T73,'Base - Non-Payroll'!$B:$B,"  "&amp;$T$1)</f>
        <v>0</v>
      </c>
      <c r="X73" s="12">
        <f>SUMIFS('Base - Non-Payroll'!$L:$L,'Base - Non-Payroll'!$A:$A,$T73,'Base - Non-Payroll'!$B:$B,"  "&amp;$T$1)</f>
        <v>0</v>
      </c>
      <c r="Z73" s="7" t="s">
        <v>30</v>
      </c>
      <c r="AA73" s="12">
        <f>SUMIFS('Base - Non-Payroll'!$E:$E,'Base - Non-Payroll'!$A:$A,$Z73,'Base - Non-Payroll'!$B:$B,"  "&amp;$Z$1)</f>
        <v>0</v>
      </c>
      <c r="AB73" s="12">
        <f>SUMIFS('Base - Non-Payroll'!$H:$H,'Base - Non-Payroll'!$A:$A,$Z73,'Base - Non-Payroll'!$B:$B,"  "&amp;$Z$1)</f>
        <v>0</v>
      </c>
      <c r="AC73" s="12">
        <f>SUMIFS('Base - Non-Payroll'!$J:$J,'Base - Non-Payroll'!$A:$A,$Z73,'Base - Non-Payroll'!$B:$B,"  "&amp;$Z$1)</f>
        <v>0</v>
      </c>
      <c r="AD73" s="12">
        <f>SUMIFS('Base - Non-Payroll'!$L:$L,'Base - Non-Payroll'!$A:$A,$Z73,'Base - Non-Payroll'!$B:$B,"  "&amp;$Z$1)</f>
        <v>0</v>
      </c>
    </row>
    <row r="74" spans="2:30" outlineLevel="1" x14ac:dyDescent="0.35">
      <c r="B74" s="7" t="s">
        <v>31</v>
      </c>
      <c r="C74" s="12">
        <f>SUMIFS('Base - Non-Payroll'!$E:$E,'Base - Non-Payroll'!$A:$A,Summary!$B74)</f>
        <v>0</v>
      </c>
      <c r="D74" s="12">
        <f>SUMIFS('Base - Non-Payroll'!$H:$H,'Base - Non-Payroll'!$A:$A,Summary!$B74)</f>
        <v>0</v>
      </c>
      <c r="E74" s="12">
        <f>SUMIFS('Base - Non-Payroll'!$J:$J,'Base - Non-Payroll'!$A:$A,Summary!$B74)</f>
        <v>0</v>
      </c>
      <c r="F74" s="12">
        <f>SUMIFS('Base - Non-Payroll'!$L:$L,'Base - Non-Payroll'!$A:$A,Summary!$B74)</f>
        <v>0</v>
      </c>
      <c r="H74" s="7" t="s">
        <v>31</v>
      </c>
      <c r="I74" s="12">
        <f>SUMIFS('Base - Non-Payroll'!$E:$E,'Base - Non-Payroll'!$A:$A,$H74,'Base - Non-Payroll'!$B:$B,"  "&amp;$H$1)</f>
        <v>0</v>
      </c>
      <c r="J74" s="12">
        <f>SUMIFS('Base - Non-Payroll'!$H:$H,'Base - Non-Payroll'!$A:$A,$H74,'Base - Non-Payroll'!$B:$B,"  "&amp;$H$1)</f>
        <v>0</v>
      </c>
      <c r="K74" s="12">
        <f>SUMIFS('Base - Non-Payroll'!$J:$J,'Base - Non-Payroll'!$A:$A,$H74,'Base - Non-Payroll'!$B:$B,"  "&amp;$H$1)</f>
        <v>0</v>
      </c>
      <c r="L74" s="12">
        <f>SUMIFS('Base - Non-Payroll'!$L:$L,'Base - Non-Payroll'!$A:$A,$H74,'Base - Non-Payroll'!$B:$B,"  "&amp;$H$1)</f>
        <v>0</v>
      </c>
      <c r="N74" s="7" t="s">
        <v>31</v>
      </c>
      <c r="O74" s="12">
        <f>SUMIFS('Base - Non-Payroll'!$E:$E,'Base - Non-Payroll'!$A:$A,$N74,'Base - Non-Payroll'!$B:$B,"  "&amp;$N$1)</f>
        <v>0</v>
      </c>
      <c r="P74" s="12">
        <f>SUMIFS('Base - Non-Payroll'!$H:$H,'Base - Non-Payroll'!$A:$A,$N74,'Base - Non-Payroll'!$B:$B,"  "&amp;$N$1)</f>
        <v>0</v>
      </c>
      <c r="Q74" s="12">
        <f>SUMIFS('Base - Non-Payroll'!$J:$J,'Base - Non-Payroll'!$A:$A,$N74,'Base - Non-Payroll'!$B:$B,"  "&amp;$N$1)</f>
        <v>0</v>
      </c>
      <c r="R74" s="12">
        <f>SUMIFS('Base - Non-Payroll'!$L:$L,'Base - Non-Payroll'!$A:$A,$N74,'Base - Non-Payroll'!$B:$B,"  "&amp;$N$1)</f>
        <v>0</v>
      </c>
      <c r="T74" s="7" t="s">
        <v>31</v>
      </c>
      <c r="U74" s="12">
        <f>SUMIFS('Base - Non-Payroll'!$E:$E,'Base - Non-Payroll'!$A:$A,$T74,'Base - Non-Payroll'!$B:$B,"  "&amp;$T$1)</f>
        <v>0</v>
      </c>
      <c r="V74" s="12">
        <f>SUMIFS('Base - Non-Payroll'!$H:$H,'Base - Non-Payroll'!$A:$A,$T74,'Base - Non-Payroll'!$B:$B,"  "&amp;$T$1)</f>
        <v>0</v>
      </c>
      <c r="W74" s="12">
        <f>SUMIFS('Base - Non-Payroll'!$J:$J,'Base - Non-Payroll'!$A:$A,$T74,'Base - Non-Payroll'!$B:$B,"  "&amp;$T$1)</f>
        <v>0</v>
      </c>
      <c r="X74" s="12">
        <f>SUMIFS('Base - Non-Payroll'!$L:$L,'Base - Non-Payroll'!$A:$A,$T74,'Base - Non-Payroll'!$B:$B,"  "&amp;$T$1)</f>
        <v>0</v>
      </c>
      <c r="Z74" s="7" t="s">
        <v>31</v>
      </c>
      <c r="AA74" s="12">
        <f>SUMIFS('Base - Non-Payroll'!$E:$E,'Base - Non-Payroll'!$A:$A,$Z74,'Base - Non-Payroll'!$B:$B,"  "&amp;$Z$1)</f>
        <v>0</v>
      </c>
      <c r="AB74" s="12">
        <f>SUMIFS('Base - Non-Payroll'!$H:$H,'Base - Non-Payroll'!$A:$A,$Z74,'Base - Non-Payroll'!$B:$B,"  "&amp;$Z$1)</f>
        <v>0</v>
      </c>
      <c r="AC74" s="12">
        <f>SUMIFS('Base - Non-Payroll'!$J:$J,'Base - Non-Payroll'!$A:$A,$Z74,'Base - Non-Payroll'!$B:$B,"  "&amp;$Z$1)</f>
        <v>0</v>
      </c>
      <c r="AD74" s="12">
        <f>SUMIFS('Base - Non-Payroll'!$L:$L,'Base - Non-Payroll'!$A:$A,$Z74,'Base - Non-Payroll'!$B:$B,"  "&amp;$Z$1)</f>
        <v>0</v>
      </c>
    </row>
    <row r="75" spans="2:30" x14ac:dyDescent="0.35">
      <c r="B75" s="9" t="s">
        <v>35</v>
      </c>
      <c r="C75" s="13">
        <f>SUM(C54:C74)</f>
        <v>13032304.582998002</v>
      </c>
      <c r="D75" s="13">
        <f>SUM(D54:D74)</f>
        <v>13032304.582998002</v>
      </c>
      <c r="E75" s="13">
        <f>SUM(E54:E74)</f>
        <v>13032304.582998002</v>
      </c>
      <c r="F75" s="13">
        <f>SUM(F54:F74)</f>
        <v>13032304.582998002</v>
      </c>
      <c r="H75" s="9" t="s">
        <v>35</v>
      </c>
      <c r="I75" s="13">
        <f>SUM(I54:I74)</f>
        <v>5266629.4929980002</v>
      </c>
      <c r="J75" s="13">
        <f>SUM(J54:J74)</f>
        <v>5266629.4929980002</v>
      </c>
      <c r="K75" s="13">
        <f>SUM(K54:K74)</f>
        <v>5266629.4929980002</v>
      </c>
      <c r="L75" s="13">
        <f>SUM(L54:L74)</f>
        <v>5266629.4929980002</v>
      </c>
      <c r="N75" s="9" t="s">
        <v>35</v>
      </c>
      <c r="O75" s="13">
        <f>SUM(O54:O74)</f>
        <v>1050998.5099999998</v>
      </c>
      <c r="P75" s="13">
        <f>SUM(P54:P74)</f>
        <v>1050998.5099999998</v>
      </c>
      <c r="Q75" s="13">
        <f>SUM(Q54:Q74)</f>
        <v>1050998.5099999998</v>
      </c>
      <c r="R75" s="13">
        <f>SUM(R54:R74)</f>
        <v>1050998.5099999998</v>
      </c>
      <c r="T75" s="9" t="s">
        <v>35</v>
      </c>
      <c r="U75" s="13">
        <f>SUM(U54:U74)</f>
        <v>5961905.7000000002</v>
      </c>
      <c r="V75" s="13">
        <f>SUM(V54:V74)</f>
        <v>5961905.7000000002</v>
      </c>
      <c r="W75" s="13">
        <f>SUM(W54:W74)</f>
        <v>5961905.7000000002</v>
      </c>
      <c r="X75" s="13">
        <f>SUM(X54:X74)</f>
        <v>5961905.7000000002</v>
      </c>
      <c r="Z75" s="9" t="s">
        <v>35</v>
      </c>
      <c r="AA75" s="13">
        <f>SUM(AA54:AA74)</f>
        <v>752770.88</v>
      </c>
      <c r="AB75" s="13">
        <f>SUM(AB54:AB74)</f>
        <v>752770.88</v>
      </c>
      <c r="AC75" s="13">
        <f>SUM(AC54:AC74)</f>
        <v>752770.88</v>
      </c>
      <c r="AD75" s="13">
        <f>SUM(AD54:AD74)</f>
        <v>752770.88</v>
      </c>
    </row>
    <row r="76" spans="2:30" x14ac:dyDescent="0.35">
      <c r="B76" s="7"/>
      <c r="C76" s="12"/>
      <c r="D76" s="12"/>
      <c r="E76" s="12"/>
      <c r="F76" s="12"/>
      <c r="H76" s="7"/>
      <c r="I76" s="12"/>
      <c r="J76" s="12"/>
      <c r="K76" s="12"/>
      <c r="L76" s="12"/>
      <c r="N76" s="7"/>
      <c r="O76" s="12"/>
      <c r="P76" s="12"/>
      <c r="Q76" s="12"/>
      <c r="R76" s="12"/>
      <c r="T76" s="7"/>
      <c r="U76" s="12"/>
      <c r="V76" s="12"/>
      <c r="W76" s="12"/>
      <c r="X76" s="12"/>
      <c r="Z76" s="7"/>
      <c r="AA76" s="12"/>
      <c r="AB76" s="12"/>
      <c r="AC76" s="12"/>
      <c r="AD76" s="12"/>
    </row>
    <row r="77" spans="2:30" x14ac:dyDescent="0.35">
      <c r="B77" s="11" t="s">
        <v>1</v>
      </c>
      <c r="C77" s="15">
        <f>C52+C75</f>
        <v>61427582.673298001</v>
      </c>
      <c r="D77" s="15">
        <f>D52+D75</f>
        <v>63802978.758278571</v>
      </c>
      <c r="E77" s="15">
        <f>E52+E75</f>
        <v>63802978.758278571</v>
      </c>
      <c r="F77" s="15">
        <f>F52+F75</f>
        <v>63802978.758278571</v>
      </c>
      <c r="H77" s="11" t="s">
        <v>1</v>
      </c>
      <c r="I77" s="15">
        <f>I52+I75</f>
        <v>34765805.450739995</v>
      </c>
      <c r="J77" s="15">
        <f>J52+J75</f>
        <v>36050149.788510561</v>
      </c>
      <c r="K77" s="15">
        <f>K52+K75</f>
        <v>36050149.788510561</v>
      </c>
      <c r="L77" s="15">
        <f>L52+L75</f>
        <v>36050149.788510561</v>
      </c>
      <c r="N77" s="11" t="s">
        <v>1</v>
      </c>
      <c r="O77" s="15">
        <f>O52+O75</f>
        <v>5943823.7222160008</v>
      </c>
      <c r="P77" s="15">
        <f>P52+P75</f>
        <v>6254018.5840217145</v>
      </c>
      <c r="Q77" s="15">
        <f>Q52+Q75</f>
        <v>6254018.5840217145</v>
      </c>
      <c r="R77" s="15">
        <f>R52+R75</f>
        <v>6254018.5840217145</v>
      </c>
      <c r="T77" s="11" t="s">
        <v>1</v>
      </c>
      <c r="U77" s="15">
        <f>U52+U75</f>
        <v>16225386.921085004</v>
      </c>
      <c r="V77" s="15">
        <f>V52+V75</f>
        <v>17002837.749218162</v>
      </c>
      <c r="W77" s="15">
        <f>W52+W75</f>
        <v>17002837.749218162</v>
      </c>
      <c r="X77" s="15">
        <f>X52+X75</f>
        <v>17002837.749218162</v>
      </c>
      <c r="Z77" s="11" t="s">
        <v>1</v>
      </c>
      <c r="AA77" s="15">
        <f>AA52+AA75</f>
        <v>4492566.5792570002</v>
      </c>
      <c r="AB77" s="15">
        <f>AB52+AB75</f>
        <v>4495972.6365281362</v>
      </c>
      <c r="AC77" s="15">
        <f>AC52+AC75</f>
        <v>4495972.6365281362</v>
      </c>
      <c r="AD77" s="15">
        <f>AD52+AD75</f>
        <v>4495972.6365281362</v>
      </c>
    </row>
    <row r="78" spans="2:30" x14ac:dyDescent="0.35">
      <c r="B78" s="7"/>
      <c r="C78" s="14"/>
      <c r="D78" s="14"/>
      <c r="E78" s="14"/>
      <c r="F78" s="14"/>
      <c r="H78" s="7"/>
      <c r="I78" s="14"/>
      <c r="J78" s="14"/>
      <c r="K78" s="14"/>
      <c r="L78" s="14"/>
      <c r="N78" s="7"/>
      <c r="O78" s="14"/>
      <c r="P78" s="14"/>
      <c r="Q78" s="14"/>
      <c r="R78" s="14"/>
      <c r="T78" s="7"/>
      <c r="U78" s="14"/>
      <c r="V78" s="14"/>
      <c r="W78" s="14"/>
      <c r="X78" s="14"/>
      <c r="Z78" s="7"/>
      <c r="AA78" s="14"/>
      <c r="AB78" s="14"/>
      <c r="AC78" s="14"/>
      <c r="AD78" s="14"/>
    </row>
    <row r="79" spans="2:30" ht="15" customHeight="1" x14ac:dyDescent="0.35">
      <c r="B79" s="2" t="s">
        <v>36</v>
      </c>
      <c r="C79" s="16"/>
      <c r="D79" s="16"/>
      <c r="E79" s="16"/>
      <c r="F79" s="16"/>
      <c r="H79" s="2" t="s">
        <v>36</v>
      </c>
      <c r="I79" s="16"/>
      <c r="J79" s="16"/>
      <c r="K79" s="16"/>
      <c r="L79" s="16"/>
      <c r="N79" s="2" t="s">
        <v>36</v>
      </c>
      <c r="O79" s="16"/>
      <c r="P79" s="16"/>
      <c r="Q79" s="16"/>
      <c r="R79" s="16"/>
      <c r="T79" s="2" t="s">
        <v>36</v>
      </c>
      <c r="U79" s="16"/>
      <c r="V79" s="16"/>
      <c r="W79" s="16"/>
      <c r="X79" s="16"/>
      <c r="Z79" s="2" t="s">
        <v>36</v>
      </c>
      <c r="AA79" s="16"/>
      <c r="AB79" s="16"/>
      <c r="AC79" s="16"/>
      <c r="AD79" s="16"/>
    </row>
    <row r="80" spans="2:30" s="6" customFormat="1" x14ac:dyDescent="0.35">
      <c r="B80" s="8"/>
      <c r="C80" s="17"/>
      <c r="D80" s="8" t="s">
        <v>37</v>
      </c>
      <c r="E80" s="51" t="s">
        <v>38</v>
      </c>
      <c r="F80" s="51" t="s">
        <v>39</v>
      </c>
      <c r="H80" s="8"/>
      <c r="I80" s="17"/>
      <c r="J80" s="8" t="s">
        <v>37</v>
      </c>
      <c r="K80" s="51" t="s">
        <v>38</v>
      </c>
      <c r="L80" s="51" t="s">
        <v>39</v>
      </c>
      <c r="N80" s="8"/>
      <c r="O80" s="17"/>
      <c r="P80" s="8" t="s">
        <v>37</v>
      </c>
      <c r="Q80" s="51" t="s">
        <v>38</v>
      </c>
      <c r="R80" s="51" t="s">
        <v>39</v>
      </c>
      <c r="T80" s="8"/>
      <c r="U80" s="17"/>
      <c r="V80" s="8" t="s">
        <v>37</v>
      </c>
      <c r="W80" s="51" t="s">
        <v>38</v>
      </c>
      <c r="X80" s="51" t="s">
        <v>39</v>
      </c>
      <c r="Z80" s="8"/>
      <c r="AA80" s="17"/>
      <c r="AB80" s="8" t="s">
        <v>37</v>
      </c>
      <c r="AC80" s="51" t="s">
        <v>38</v>
      </c>
      <c r="AD80" s="51" t="s">
        <v>39</v>
      </c>
    </row>
    <row r="81" spans="2:30" outlineLevel="1" x14ac:dyDescent="0.35">
      <c r="B81" s="7" t="s">
        <v>2</v>
      </c>
      <c r="C81" s="14"/>
      <c r="D81" s="14" cm="1">
        <f t="array" ref="D81">SUMPRODUCT(IFERROR(tblPayrollIncrementalSpend[Base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1" s="14" cm="1">
        <f t="array" ref="E81">SUMPRODUCT(IFERROR(tblPayrollIncrementalSpend[Base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1" s="14" cm="1">
        <f t="array" ref="F81">SUMPRODUCT(IFERROR(tblPayrollIncrementalSpend[Base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1" s="7" t="s">
        <v>2</v>
      </c>
      <c r="I81" s="14"/>
      <c r="J81" s="14" cm="1">
        <f t="array" ref="J81">SUMPRODUCT(IFERROR((tblPayrollIncrementalSpend[Group]=$H$1)*tblPayrollIncrementalSpend[Base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1" s="14" cm="1">
        <f t="array" ref="K81">SUMPRODUCT(IFERROR((tblPayrollIncrementalSpend[Group]=$H$1)*tblPayrollIncrementalSpend[Base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1" s="14" cm="1">
        <f t="array" ref="L81">SUMPRODUCT(IFERROR((tblPayrollIncrementalSpend[Group]=$H$1)*tblPayrollIncrementalSpend[Base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1" s="7" t="s">
        <v>2</v>
      </c>
      <c r="O81" s="14"/>
      <c r="P81" s="14" cm="1">
        <f t="array" ref="P81">SUMPRODUCT(IFERROR((tblPayrollIncrementalSpend[Group]=$N$1)*tblPayrollIncrementalSpend[Base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1" s="14" cm="1">
        <f t="array" ref="Q81">SUMPRODUCT(IFERROR((tblPayrollIncrementalSpend[Group]=$N$1)*tblPayrollIncrementalSpend[Base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1" s="14" cm="1">
        <f t="array" ref="R81">SUMPRODUCT(IFERROR((tblPayrollIncrementalSpend[Group]=$N$1)*tblPayrollIncrementalSpend[Base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1" s="7" t="s">
        <v>2</v>
      </c>
      <c r="U81" s="14"/>
      <c r="V81" s="14" cm="1">
        <f t="array" ref="V81">SUMPRODUCT(IFERROR((tblPayrollIncrementalSpend[Group]=$T$1)*tblPayrollIncrementalSpend[Base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1" s="14" cm="1">
        <f t="array" ref="W81">SUMPRODUCT(IFERROR((tblPayrollIncrementalSpend[Group]=$T$1)*tblPayrollIncrementalSpend[Base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1" s="14" cm="1">
        <f t="array" ref="X81">SUMPRODUCT(IFERROR((tblPayrollIncrementalSpend[Group]=$T$1)*tblPayrollIncrementalSpend[Base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1" s="7" t="s">
        <v>2</v>
      </c>
      <c r="AA81" s="14"/>
      <c r="AB81" s="14" cm="1">
        <f t="array" ref="AB81">SUMPRODUCT(IFERROR((tblPayrollIncrementalSpend[Group]=$Z$1)*tblPayrollIncrementalSpend[Base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1" s="14" cm="1">
        <f t="array" ref="AC81">SUMPRODUCT(IFERROR((tblPayrollIncrementalSpend[Group]=$Z$1)*tblPayrollIncrementalSpend[Base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1" s="14" cm="1">
        <f t="array" ref="AD81">SUMPRODUCT(IFERROR((tblPayrollIncrementalSpend[Group]=$Z$1)*tblPayrollIncrementalSpend[Base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2" spans="2:30" outlineLevel="1" x14ac:dyDescent="0.35">
      <c r="B82" s="7" t="s">
        <v>3</v>
      </c>
      <c r="C82" s="14"/>
      <c r="D82" s="14" cm="1">
        <f t="array" ref="D82">SUMPRODUCT(IFERROR(tblPayrollIncrementalSpend[Bonus]*tblPayrollIncrementalSpend[2027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2" s="14" cm="1">
        <f t="array" ref="E82">SUMPRODUCT(IFERROR(tblPayrollIncrementalSpend[Bonus]*tblPayrollIncrementalSpend[2028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2" s="14" cm="1">
        <f t="array" ref="F82">SUMPRODUCT(IFERROR(tblPayrollIncrementalSpend[Bonus]*tblPayrollIncrementalSpend[2029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2" s="7" t="s">
        <v>3</v>
      </c>
      <c r="I82" s="14"/>
      <c r="J82" s="14" cm="1">
        <f t="array" ref="J82">SUMPRODUCT(IFERROR((tblPayrollIncrementalSpend[Group]=$H$1)*tblPayrollIncrementalSpend[Bonus]*tblPayrollIncrementalSpend[2027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2" s="14" cm="1">
        <f t="array" ref="K82">SUMPRODUCT(IFERROR((tblPayrollIncrementalSpend[Group]=$H$1)*tblPayrollIncrementalSpend[Bonus]*tblPayrollIncrementalSpend[2028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2" s="14" cm="1">
        <f t="array" ref="L82">SUMPRODUCT(IFERROR((tblPayrollIncrementalSpend[Group]=$H$1)*tblPayrollIncrementalSpend[Bonus]*tblPayrollIncrementalSpend[2029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2" s="7" t="s">
        <v>3</v>
      </c>
      <c r="O82" s="14"/>
      <c r="P82" s="14" cm="1">
        <f t="array" ref="P82">SUMPRODUCT(IFERROR((tblPayrollIncrementalSpend[Group]=$N$1)*tblPayrollIncrementalSpend[Bonus]*tblPayrollIncrementalSpend[2027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2" s="14" cm="1">
        <f t="array" ref="Q82">SUMPRODUCT(IFERROR((tblPayrollIncrementalSpend[Group]=$N$1)*tblPayrollIncrementalSpend[Bonus]*tblPayrollIncrementalSpend[2028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2" s="14" cm="1">
        <f t="array" ref="R82">SUMPRODUCT(IFERROR((tblPayrollIncrementalSpend[Group]=$N$1)*tblPayrollIncrementalSpend[Bonus]*tblPayrollIncrementalSpend[2029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2" s="7" t="s">
        <v>3</v>
      </c>
      <c r="U82" s="14"/>
      <c r="V82" s="14" cm="1">
        <f t="array" ref="V82">SUMPRODUCT(IFERROR((tblPayrollIncrementalSpend[Group]=$T$1)*tblPayrollIncrementalSpend[Bonus]*tblPayrollIncrementalSpend[2027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2" s="14" cm="1">
        <f t="array" ref="W82">SUMPRODUCT(IFERROR((tblPayrollIncrementalSpend[Group]=$T$1)*tblPayrollIncrementalSpend[Bonus]*tblPayrollIncrementalSpend[2028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2" s="14" cm="1">
        <f t="array" ref="X82">SUMPRODUCT(IFERROR((tblPayrollIncrementalSpend[Group]=$T$1)*tblPayrollIncrementalSpend[Bonus]*tblPayrollIncrementalSpend[2029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2" s="7" t="s">
        <v>3</v>
      </c>
      <c r="AA82" s="14"/>
      <c r="AB82" s="14" cm="1">
        <f t="array" ref="AB82">SUMPRODUCT(IFERROR((tblPayrollIncrementalSpend[Group]=$Z$1)*tblPayrollIncrementalSpend[Bonus]*tblPayrollIncrementalSpend[2027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2" s="14" cm="1">
        <f t="array" ref="AC82">SUMPRODUCT(IFERROR((tblPayrollIncrementalSpend[Group]=$Z$1)*tblPayrollIncrementalSpend[Bonus]*tblPayrollIncrementalSpend[2028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2" s="14" cm="1">
        <f t="array" ref="AD82">SUMPRODUCT(IFERROR((tblPayrollIncrementalSpend[Group]=$Z$1)*tblPayrollIncrementalSpend[Bonus]*tblPayrollIncrementalSpend[2029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3" spans="2:30" outlineLevel="1" x14ac:dyDescent="0.35">
      <c r="B83" s="7" t="s">
        <v>4</v>
      </c>
      <c r="C83" s="14"/>
      <c r="D83" s="14">
        <f>SUMIF(tblNonPayrollIncrementalSpend[Type of Expense],$B83,tblNonPayrollIncrementalSpend[2027 Incremental Spend])</f>
        <v>0</v>
      </c>
      <c r="E83" s="14">
        <f>SUMIF(tblNonPayrollIncrementalSpend3[Type of Expense],$B83,tblNonPayrollIncrementalSpend3[2028 Incremental Spend])</f>
        <v>0</v>
      </c>
      <c r="F83" s="14">
        <f>SUMIF(tblNonPayrollIncrementalSpend3[Type of Expense],$B83,tblNonPayrollIncrementalSpend3[2029 Incremental Spend])</f>
        <v>0</v>
      </c>
      <c r="H83" s="7" t="s">
        <v>4</v>
      </c>
      <c r="I83" s="14"/>
      <c r="J83" s="14">
        <f>SUMIFS(tblNonPayrollIncrementalSpend[2027 Incremental Spend],tblNonPayrollIncrementalSpend[Type of Expense],$H83,tblNonPayrollIncrementalSpend[Group],$H$1)</f>
        <v>0</v>
      </c>
      <c r="K83" s="14">
        <f>SUMIFS(tblNonPayrollIncrementalSpend[2028 Incremental Spend],tblNonPayrollIncrementalSpend[Type of Expense],$H83,tblNonPayrollIncrementalSpend[Group],$H$1)</f>
        <v>0</v>
      </c>
      <c r="L83" s="14">
        <f>SUMIFS(tblNonPayrollIncrementalSpend[2029 Incremental Spend],tblNonPayrollIncrementalSpend[Type of Expense],$H83,tblNonPayrollIncrementalSpend[Group],$H$1)</f>
        <v>0</v>
      </c>
      <c r="N83" s="7" t="s">
        <v>4</v>
      </c>
      <c r="O83" s="14"/>
      <c r="P83" s="14">
        <f>SUMIFS(tblNonPayrollIncrementalSpend[2027 Incremental Spend],tblNonPayrollIncrementalSpend[Type of Expense],$N83,tblNonPayrollIncrementalSpend[Group],$N$1)</f>
        <v>0</v>
      </c>
      <c r="Q83" s="14">
        <f>SUMIFS(tblNonPayrollIncrementalSpend[2028 Incremental Spend],tblNonPayrollIncrementalSpend[Type of Expense],$N83,tblNonPayrollIncrementalSpend[Group],$N$1)</f>
        <v>0</v>
      </c>
      <c r="R83" s="14">
        <f>SUMIFS(tblNonPayrollIncrementalSpend[2029 Incremental Spend],tblNonPayrollIncrementalSpend[Type of Expense],$N83,tblNonPayrollIncrementalSpend[Group],$N$1)</f>
        <v>0</v>
      </c>
      <c r="T83" s="7" t="s">
        <v>4</v>
      </c>
      <c r="U83" s="14"/>
      <c r="V83" s="14">
        <f>SUMIFS(tblNonPayrollIncrementalSpend[2027 Incremental Spend],tblNonPayrollIncrementalSpend[Type of Expense],$T83,tblNonPayrollIncrementalSpend[Group],$T$1)</f>
        <v>0</v>
      </c>
      <c r="W83" s="14">
        <f>SUMIFS(tblNonPayrollIncrementalSpend[2028 Incremental Spend],tblNonPayrollIncrementalSpend[Type of Expense],$T83,tblNonPayrollIncrementalSpend[Group],$T$1)</f>
        <v>0</v>
      </c>
      <c r="X83" s="14">
        <f>SUMIFS(tblNonPayrollIncrementalSpend[2029 Incremental Spend],tblNonPayrollIncrementalSpend[Type of Expense],$T83,tblNonPayrollIncrementalSpend[Group],$T$1)</f>
        <v>0</v>
      </c>
      <c r="Z83" s="7" t="s">
        <v>4</v>
      </c>
      <c r="AA83" s="14"/>
      <c r="AB83" s="14">
        <f>SUMIFS(tblNonPayrollIncrementalSpend[2027 Incremental Spend],tblNonPayrollIncrementalSpend[Type of Expense],$Z83,tblNonPayrollIncrementalSpend[Group],$Z$1)</f>
        <v>0</v>
      </c>
      <c r="AC83" s="14">
        <f>SUMIFS(tblNonPayrollIncrementalSpend[2028 Incremental Spend],tblNonPayrollIncrementalSpend[Type of Expense],$Z83,tblNonPayrollIncrementalSpend[Group],$Z$1)</f>
        <v>0</v>
      </c>
      <c r="AD83" s="14">
        <f>SUMIFS(tblNonPayrollIncrementalSpend[2029 Incremental Spend],tblNonPayrollIncrementalSpend[Type of Expense],$Z83,tblNonPayrollIncrementalSpend[Group],$Z$1)</f>
        <v>0</v>
      </c>
    </row>
    <row r="84" spans="2:30" outlineLevel="1" x14ac:dyDescent="0.35">
      <c r="B84" s="7" t="s">
        <v>5</v>
      </c>
      <c r="C84" s="14"/>
      <c r="D84" s="14" cm="1">
        <f t="array" ref="D84">SUMPRODUCT(IFERROR(tblPayrollIncrementalSpend[Payroll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4" s="14" cm="1">
        <f t="array" ref="E84">SUMPRODUCT(IFERROR(tblPayrollIncrementalSpend[Payroll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4" s="14" cm="1">
        <f t="array" ref="F84">SUMPRODUCT(IFERROR(tblPayrollIncrementalSpend[Payroll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4" s="7" t="s">
        <v>5</v>
      </c>
      <c r="I84" s="14"/>
      <c r="J84" s="14" cm="1">
        <f t="array" ref="J84">SUMPRODUCT(IFERROR((tblPayrollIncrementalSpend[Group]=$H$1)*tblPayrollIncrementalSpend[Payroll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4" s="14" cm="1">
        <f t="array" ref="K84">SUMPRODUCT(IFERROR((tblPayrollIncrementalSpend[Group]=$H$1)*tblPayrollIncrementalSpend[Payroll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4" s="14" cm="1">
        <f t="array" ref="L84">SUMPRODUCT(IFERROR((tblPayrollIncrementalSpend[Group]=$H$1)*tblPayrollIncrementalSpend[Payroll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4" s="7" t="s">
        <v>5</v>
      </c>
      <c r="O84" s="14"/>
      <c r="P84" s="14" cm="1">
        <f t="array" ref="P84">SUMPRODUCT(IFERROR((tblPayrollIncrementalSpend[Group]=$N$1)*tblPayrollIncrementalSpend[Payroll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4" s="14" cm="1">
        <f t="array" ref="Q84">SUMPRODUCT(IFERROR((tblPayrollIncrementalSpend[Group]=$N$1)*tblPayrollIncrementalSpend[Payroll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4" s="14" cm="1">
        <f t="array" ref="R84">SUMPRODUCT(IFERROR((tblPayrollIncrementalSpend[Group]=$N$1)*tblPayrollIncrementalSpend[Payroll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4" s="7" t="s">
        <v>5</v>
      </c>
      <c r="U84" s="14"/>
      <c r="V84" s="14" cm="1">
        <f t="array" ref="V84">SUMPRODUCT(IFERROR((tblPayrollIncrementalSpend[Group]=$T$1)*tblPayrollIncrementalSpend[Payroll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4" s="14" cm="1">
        <f t="array" ref="W84">SUMPRODUCT(IFERROR((tblPayrollIncrementalSpend[Group]=$T$1)*tblPayrollIncrementalSpend[Payroll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4" s="14" cm="1">
        <f t="array" ref="X84">SUMPRODUCT(IFERROR((tblPayrollIncrementalSpend[Group]=$T$1)*tblPayrollIncrementalSpend[Payroll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4" s="7" t="s">
        <v>5</v>
      </c>
      <c r="AA84" s="14"/>
      <c r="AB84" s="14" cm="1">
        <f t="array" ref="AB84">SUMPRODUCT(IFERROR((tblPayrollIncrementalSpend[Group]=$Z$1)*tblPayrollIncrementalSpend[Payroll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4" s="14" cm="1">
        <f t="array" ref="AC84">SUMPRODUCT(IFERROR((tblPayrollIncrementalSpend[Group]=$Z$1)*tblPayrollIncrementalSpend[Payroll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4" s="14" cm="1">
        <f t="array" ref="AD84">SUMPRODUCT(IFERROR((tblPayrollIncrementalSpend[Group]=$Z$1)*tblPayrollIncrementalSpend[Payroll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5" spans="2:30" outlineLevel="1" x14ac:dyDescent="0.35">
      <c r="B85" s="7" t="s">
        <v>6</v>
      </c>
      <c r="C85" s="14"/>
      <c r="D85" s="14" cm="1">
        <f t="array" ref="D85">SUMPRODUCT(IFERROR(tblPayrollIncrementalSpend[Benefits]*tblPayrollIncrementalSpend[2027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5" s="14" cm="1">
        <f t="array" ref="E85">SUMPRODUCT(IFERROR(tblPayrollIncrementalSpend[Benefits]*tblPayrollIncrementalSpend[2028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5" s="14" cm="1">
        <f t="array" ref="F85">SUMPRODUCT(IFERROR(tblPayrollIncrementalSpend[Benefits]*tblPayrollIncrementalSpend[2029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5" s="7" t="s">
        <v>6</v>
      </c>
      <c r="I85" s="14"/>
      <c r="J85" s="14" cm="1">
        <f t="array" ref="J85">SUMPRODUCT(IFERROR((tblPayrollIncrementalSpend[Group]=$H$1)*tblPayrollIncrementalSpend[Benefits]*tblPayrollIncrementalSpend[2027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5" s="14" cm="1">
        <f t="array" ref="K85">SUMPRODUCT(IFERROR((tblPayrollIncrementalSpend[Group]=$H$1)*tblPayrollIncrementalSpend[Benefits]*tblPayrollIncrementalSpend[2028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5" s="14" cm="1">
        <f t="array" ref="L85">SUMPRODUCT(IFERROR((tblPayrollIncrementalSpend[Group]=$H$1)*tblPayrollIncrementalSpend[Benefits]*tblPayrollIncrementalSpend[2029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5" s="7" t="s">
        <v>6</v>
      </c>
      <c r="O85" s="14"/>
      <c r="P85" s="14" cm="1">
        <f t="array" ref="P85">SUMPRODUCT(IFERROR((tblPayrollIncrementalSpend[Group]=$N$1)*tblPayrollIncrementalSpend[Benefits]*tblPayrollIncrementalSpend[2027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5" s="14" cm="1">
        <f t="array" ref="Q85">SUMPRODUCT(IFERROR((tblPayrollIncrementalSpend[Group]=$N$1)*tblPayrollIncrementalSpend[Benefits]*tblPayrollIncrementalSpend[2028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5" s="14" cm="1">
        <f t="array" ref="R85">SUMPRODUCT(IFERROR((tblPayrollIncrementalSpend[Group]=$N$1)*tblPayrollIncrementalSpend[Benefits]*tblPayrollIncrementalSpend[2029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5" s="7" t="s">
        <v>6</v>
      </c>
      <c r="U85" s="14"/>
      <c r="V85" s="14" cm="1">
        <f t="array" ref="V85">SUMPRODUCT(IFERROR((tblPayrollIncrementalSpend[Group]=$T$1)*tblPayrollIncrementalSpend[Benefits]*tblPayrollIncrementalSpend[2027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5" s="14" cm="1">
        <f t="array" ref="W85">SUMPRODUCT(IFERROR((tblPayrollIncrementalSpend[Group]=$T$1)*tblPayrollIncrementalSpend[Benefits]*tblPayrollIncrementalSpend[2028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5" s="14" cm="1">
        <f t="array" ref="X85">SUMPRODUCT(IFERROR((tblPayrollIncrementalSpend[Group]=$T$1)*tblPayrollIncrementalSpend[Benefits]*tblPayrollIncrementalSpend[2029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5" s="7" t="s">
        <v>6</v>
      </c>
      <c r="AA85" s="14"/>
      <c r="AB85" s="14" cm="1">
        <f t="array" ref="AB85">SUMPRODUCT(IFERROR((tblPayrollIncrementalSpend[Group]=$Z$1)*tblPayrollIncrementalSpend[Benefits]*tblPayrollIncrementalSpend[2027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5" s="14" cm="1">
        <f t="array" ref="AC85">SUMPRODUCT(IFERROR((tblPayrollIncrementalSpend[Group]=$Z$1)*tblPayrollIncrementalSpend[Benefits]*tblPayrollIncrementalSpend[2028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5" s="14" cm="1">
        <f t="array" ref="AD85">SUMPRODUCT(IFERROR((tblPayrollIncrementalSpend[Group]=$Z$1)*tblPayrollIncrementalSpend[Benefits]*tblPayrollIncrementalSpend[2029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6" spans="2:30" outlineLevel="1" x14ac:dyDescent="0.35">
      <c r="B86" s="7" t="s">
        <v>7</v>
      </c>
      <c r="C86" s="14"/>
      <c r="D86" s="14" cm="1">
        <f t="array" ref="D86">SUMPRODUCT(IFERROR(tblPayrollIncrementalSpend[Vacation]*tblPayrollIncrementalSpend[2027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6" s="14" cm="1">
        <f t="array" ref="E86">SUMPRODUCT(IFERROR(tblPayrollIncrementalSpend[Vacation]*tblPayrollIncrementalSpend[2028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6" s="14" cm="1">
        <f t="array" ref="F86">SUMPRODUCT(IFERROR(tblPayrollIncrementalSpend[Vacation]*tblPayrollIncrementalSpend[2029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6" s="7" t="s">
        <v>7</v>
      </c>
      <c r="I86" s="14"/>
      <c r="J86" s="14" cm="1">
        <f t="array" ref="J86">SUMPRODUCT(IFERROR((tblPayrollIncrementalSpend[Group]=$H$1)*tblPayrollIncrementalSpend[Vacation]*tblPayrollIncrementalSpend[2027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6" s="14" cm="1">
        <f t="array" ref="K86">SUMPRODUCT(IFERROR((tblPayrollIncrementalSpend[Group]=$H$1)*tblPayrollIncrementalSpend[Vacation]*tblPayrollIncrementalSpend[2028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6" s="14" cm="1">
        <f t="array" ref="L86">SUMPRODUCT(IFERROR((tblPayrollIncrementalSpend[Group]=$H$1)*tblPayrollIncrementalSpend[Vacation]*tblPayrollIncrementalSpend[2029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6" s="7" t="s">
        <v>7</v>
      </c>
      <c r="O86" s="14"/>
      <c r="P86" s="14" cm="1">
        <f t="array" ref="P86">SUMPRODUCT(IFERROR((tblPayrollIncrementalSpend[Group]=$N$1)*tblPayrollIncrementalSpend[Vacation]*tblPayrollIncrementalSpend[2027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6" s="14" cm="1">
        <f t="array" ref="Q86">SUMPRODUCT(IFERROR((tblPayrollIncrementalSpend[Group]=$N$1)*tblPayrollIncrementalSpend[Vacation]*tblPayrollIncrementalSpend[2028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6" s="14" cm="1">
        <f t="array" ref="R86">SUMPRODUCT(IFERROR((tblPayrollIncrementalSpend[Group]=$N$1)*tblPayrollIncrementalSpend[Vacation]*tblPayrollIncrementalSpend[2029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6" s="7" t="s">
        <v>7</v>
      </c>
      <c r="U86" s="14"/>
      <c r="V86" s="14" cm="1">
        <f t="array" ref="V86">SUMPRODUCT(IFERROR((tblPayrollIncrementalSpend[Group]=$T$1)*tblPayrollIncrementalSpend[Vacation]*tblPayrollIncrementalSpend[2027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6" s="14" cm="1">
        <f t="array" ref="W86">SUMPRODUCT(IFERROR((tblPayrollIncrementalSpend[Group]=$T$1)*tblPayrollIncrementalSpend[Vacation]*tblPayrollIncrementalSpend[2028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6" s="14" cm="1">
        <f t="array" ref="X86">SUMPRODUCT(IFERROR((tblPayrollIncrementalSpend[Group]=$T$1)*tblPayrollIncrementalSpend[Vacation]*tblPayrollIncrementalSpend[2029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6" s="7" t="s">
        <v>7</v>
      </c>
      <c r="AA86" s="14"/>
      <c r="AB86" s="14" cm="1">
        <f t="array" ref="AB86">SUMPRODUCT(IFERROR((tblPayrollIncrementalSpend[Group]=$Z$1)*tblPayrollIncrementalSpend[Vacation]*tblPayrollIncrementalSpend[2027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6" s="14" cm="1">
        <f t="array" ref="AC86">SUMPRODUCT(IFERROR((tblPayrollIncrementalSpend[Group]=$Z$1)*tblPayrollIncrementalSpend[Vacation]*tblPayrollIncrementalSpend[2028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6" s="14" cm="1">
        <f t="array" ref="AD86">SUMPRODUCT(IFERROR((tblPayrollIncrementalSpend[Group]=$Z$1)*tblPayrollIncrementalSpend[Vacation]*tblPayrollIncrementalSpend[2029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7" spans="2:30" outlineLevel="1" x14ac:dyDescent="0.35">
      <c r="B87" s="7" t="s">
        <v>8</v>
      </c>
      <c r="C87" s="14"/>
      <c r="D87" s="14" cm="1">
        <f t="array" ref="D87">SUMPRODUCT(IFERROR(tblPayrollIncrementalSpend[Other]*tblPayrollIncrementalSpend[2027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7" s="14" cm="1">
        <f t="array" ref="E87">SUMPRODUCT(IFERROR(tblPayrollIncrementalSpend[Other]*tblPayrollIncrementalSpend[2028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7" s="14" cm="1">
        <f t="array" ref="F87">SUMPRODUCT(IFERROR(tblPayrollIncrementalSpend[Other]*tblPayrollIncrementalSpend[2029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7" s="7" t="s">
        <v>8</v>
      </c>
      <c r="I87" s="14"/>
      <c r="J87" s="14" cm="1">
        <f t="array" ref="J87">SUMPRODUCT(IFERROR((tblPayrollIncrementalSpend[Group]=$H$1)*tblPayrollIncrementalSpend[Other]*tblPayrollIncrementalSpend[2027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7" s="14" cm="1">
        <f t="array" ref="K87">SUMPRODUCT(IFERROR((tblPayrollIncrementalSpend[Group]=$H$1)*tblPayrollIncrementalSpend[Other]*tblPayrollIncrementalSpend[2028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7" s="14" cm="1">
        <f t="array" ref="L87">SUMPRODUCT(IFERROR((tblPayrollIncrementalSpend[Group]=$H$1)*tblPayrollIncrementalSpend[Other]*tblPayrollIncrementalSpend[2029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7" s="7" t="s">
        <v>8</v>
      </c>
      <c r="O87" s="14"/>
      <c r="P87" s="14" cm="1">
        <f t="array" ref="P87">SUMPRODUCT(IFERROR((tblPayrollIncrementalSpend[Group]=$N$1)*tblPayrollIncrementalSpend[Other]*tblPayrollIncrementalSpend[2027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7" s="14" cm="1">
        <f t="array" ref="Q87">SUMPRODUCT(IFERROR((tblPayrollIncrementalSpend[Group]=$N$1)*tblPayrollIncrementalSpend[Other]*tblPayrollIncrementalSpend[2028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7" s="14" cm="1">
        <f t="array" ref="R87">SUMPRODUCT(IFERROR((tblPayrollIncrementalSpend[Group]=$N$1)*tblPayrollIncrementalSpend[Other]*tblPayrollIncrementalSpend[2029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7" s="7" t="s">
        <v>8</v>
      </c>
      <c r="U87" s="14"/>
      <c r="V87" s="14" cm="1">
        <f t="array" ref="V87">SUMPRODUCT(IFERROR((tblPayrollIncrementalSpend[Group]=$T$1)*tblPayrollIncrementalSpend[Other]*tblPayrollIncrementalSpend[2027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7" s="14" cm="1">
        <f t="array" ref="W87">SUMPRODUCT(IFERROR((tblPayrollIncrementalSpend[Group]=$T$1)*tblPayrollIncrementalSpend[Other]*tblPayrollIncrementalSpend[2028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7" s="14" cm="1">
        <f t="array" ref="X87">SUMPRODUCT(IFERROR((tblPayrollIncrementalSpend[Group]=$T$1)*tblPayrollIncrementalSpend[Other]*tblPayrollIncrementalSpend[2029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7" s="7" t="s">
        <v>8</v>
      </c>
      <c r="AA87" s="14"/>
      <c r="AB87" s="14" cm="1">
        <f t="array" ref="AB87">SUMPRODUCT(IFERROR((tblPayrollIncrementalSpend[Group]=$Z$1)*tblPayrollIncrementalSpend[Other]*tblPayrollIncrementalSpend[2027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7" s="14" cm="1">
        <f t="array" ref="AC87">SUMPRODUCT(IFERROR((tblPayrollIncrementalSpend[Group]=$Z$1)*tblPayrollIncrementalSpend[Other]*tblPayrollIncrementalSpend[2028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7" s="14" cm="1">
        <f t="array" ref="AD87">SUMPRODUCT(IFERROR((tblPayrollIncrementalSpend[Group]=$Z$1)*tblPayrollIncrementalSpend[Other]*tblPayrollIncrementalSpend[2029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8" spans="2:30" outlineLevel="1" x14ac:dyDescent="0.35">
      <c r="B88" s="7" t="s">
        <v>9</v>
      </c>
      <c r="C88" s="14"/>
      <c r="D88" s="14">
        <f>SUMIF(tblNonPayrollIncrementalSpend[Type of Expense],$B88,tblNonPayrollIncrementalSpend[2027 Incremental Spend])</f>
        <v>0</v>
      </c>
      <c r="E88" s="14">
        <f>SUMIF(tblNonPayrollIncrementalSpend3[Type of Expense],$B88,tblNonPayrollIncrementalSpend3[2028 Incremental Spend])</f>
        <v>0</v>
      </c>
      <c r="F88" s="14">
        <f>SUMIF(tblNonPayrollIncrementalSpend3[Type of Expense],$B88,tblNonPayrollIncrementalSpend3[2029 Incremental Spend])</f>
        <v>0</v>
      </c>
      <c r="H88" s="7" t="s">
        <v>9</v>
      </c>
      <c r="I88" s="14"/>
      <c r="J88" s="14">
        <f>SUMIFS(tblNonPayrollIncrementalSpend[2027 Incremental Spend],tblNonPayrollIncrementalSpend[Type of Expense],$H88,tblNonPayrollIncrementalSpend[Group],$H$1)</f>
        <v>0</v>
      </c>
      <c r="K88" s="14">
        <f>SUMIFS(tblNonPayrollIncrementalSpend[2028 Incremental Spend],tblNonPayrollIncrementalSpend[Type of Expense],$H88,tblNonPayrollIncrementalSpend[Group],$H$1)</f>
        <v>0</v>
      </c>
      <c r="L88" s="14">
        <f>SUMIFS(tblNonPayrollIncrementalSpend[2029 Incremental Spend],tblNonPayrollIncrementalSpend[Type of Expense],$H88,tblNonPayrollIncrementalSpend[Group],$H$1)</f>
        <v>0</v>
      </c>
      <c r="N88" s="7" t="s">
        <v>9</v>
      </c>
      <c r="O88" s="14"/>
      <c r="P88" s="14">
        <f>SUMIFS(tblNonPayrollIncrementalSpend[2027 Incremental Spend],tblNonPayrollIncrementalSpend[Type of Expense],$N88,tblNonPayrollIncrementalSpend[Group],$N$1)</f>
        <v>0</v>
      </c>
      <c r="Q88" s="14">
        <f>SUMIFS(tblNonPayrollIncrementalSpend[2028 Incremental Spend],tblNonPayrollIncrementalSpend[Type of Expense],$N88,tblNonPayrollIncrementalSpend[Group],$N$1)</f>
        <v>0</v>
      </c>
      <c r="R88" s="14">
        <f>SUMIFS(tblNonPayrollIncrementalSpend[2029 Incremental Spend],tblNonPayrollIncrementalSpend[Type of Expense],$N88,tblNonPayrollIncrementalSpend[Group],$N$1)</f>
        <v>0</v>
      </c>
      <c r="T88" s="7" t="s">
        <v>9</v>
      </c>
      <c r="U88" s="14"/>
      <c r="V88" s="14">
        <f>SUMIFS(tblNonPayrollIncrementalSpend[2027 Incremental Spend],tblNonPayrollIncrementalSpend[Type of Expense],$T88,tblNonPayrollIncrementalSpend[Group],$T$1)</f>
        <v>0</v>
      </c>
      <c r="W88" s="14">
        <f>SUMIFS(tblNonPayrollIncrementalSpend[2028 Incremental Spend],tblNonPayrollIncrementalSpend[Type of Expense],$T88,tblNonPayrollIncrementalSpend[Group],$T$1)</f>
        <v>0</v>
      </c>
      <c r="X88" s="14">
        <f>SUMIFS(tblNonPayrollIncrementalSpend[2029 Incremental Spend],tblNonPayrollIncrementalSpend[Type of Expense],$T88,tblNonPayrollIncrementalSpend[Group],$T$1)</f>
        <v>0</v>
      </c>
      <c r="Z88" s="7" t="s">
        <v>9</v>
      </c>
      <c r="AA88" s="14"/>
      <c r="AB88" s="14">
        <f>SUMIFS(tblNonPayrollIncrementalSpend[2027 Incremental Spend],tblNonPayrollIncrementalSpend[Type of Expense],$Z88,tblNonPayrollIncrementalSpend[Group],$Z$1)</f>
        <v>0</v>
      </c>
      <c r="AC88" s="14">
        <f>SUMIFS(tblNonPayrollIncrementalSpend[2028 Incremental Spend],tblNonPayrollIncrementalSpend[Type of Expense],$Z88,tblNonPayrollIncrementalSpend[Group],$Z$1)</f>
        <v>0</v>
      </c>
      <c r="AD88" s="14">
        <f>SUMIFS(tblNonPayrollIncrementalSpend[2029 Incremental Spend],tblNonPayrollIncrementalSpend[Type of Expense],$Z88,tblNonPayrollIncrementalSpend[Group],$Z$1)</f>
        <v>0</v>
      </c>
    </row>
    <row r="89" spans="2:30" outlineLevel="1" x14ac:dyDescent="0.35">
      <c r="B89" s="7" t="s">
        <v>10</v>
      </c>
      <c r="C89" s="14"/>
      <c r="D89" s="14">
        <f>SUMIF(tblNonPayrollIncrementalSpend[Type of Expense],$B89,tblNonPayrollIncrementalSpend[2027 Incremental Spend])</f>
        <v>0</v>
      </c>
      <c r="E89" s="14">
        <f>SUMIF(tblNonPayrollIncrementalSpend3[Type of Expense],$B89,tblNonPayrollIncrementalSpend3[2028 Incremental Spend])</f>
        <v>0</v>
      </c>
      <c r="F89" s="14">
        <f>SUMIF(tblNonPayrollIncrementalSpend3[Type of Expense],$B89,tblNonPayrollIncrementalSpend3[2029 Incremental Spend])</f>
        <v>0</v>
      </c>
      <c r="H89" s="7" t="s">
        <v>10</v>
      </c>
      <c r="I89" s="14"/>
      <c r="J89" s="14">
        <f>SUMIFS(tblNonPayrollIncrementalSpend[2027 Incremental Spend],tblNonPayrollIncrementalSpend[Type of Expense],$H89,tblNonPayrollIncrementalSpend[Group],$H$1)</f>
        <v>0</v>
      </c>
      <c r="K89" s="14">
        <f>SUMIFS(tblNonPayrollIncrementalSpend[2028 Incremental Spend],tblNonPayrollIncrementalSpend[Type of Expense],$H89,tblNonPayrollIncrementalSpend[Group],$H$1)</f>
        <v>0</v>
      </c>
      <c r="L89" s="14">
        <f>SUMIFS(tblNonPayrollIncrementalSpend[2029 Incremental Spend],tblNonPayrollIncrementalSpend[Type of Expense],$H89,tblNonPayrollIncrementalSpend[Group],$H$1)</f>
        <v>0</v>
      </c>
      <c r="N89" s="7" t="s">
        <v>10</v>
      </c>
      <c r="O89" s="14"/>
      <c r="P89" s="14">
        <f>SUMIFS(tblNonPayrollIncrementalSpend[2027 Incremental Spend],tblNonPayrollIncrementalSpend[Type of Expense],$N89,tblNonPayrollIncrementalSpend[Group],$N$1)</f>
        <v>0</v>
      </c>
      <c r="Q89" s="14">
        <f>SUMIFS(tblNonPayrollIncrementalSpend[2028 Incremental Spend],tblNonPayrollIncrementalSpend[Type of Expense],$N89,tblNonPayrollIncrementalSpend[Group],$N$1)</f>
        <v>0</v>
      </c>
      <c r="R89" s="14">
        <f>SUMIFS(tblNonPayrollIncrementalSpend[2029 Incremental Spend],tblNonPayrollIncrementalSpend[Type of Expense],$N89,tblNonPayrollIncrementalSpend[Group],$N$1)</f>
        <v>0</v>
      </c>
      <c r="T89" s="7" t="s">
        <v>10</v>
      </c>
      <c r="U89" s="14"/>
      <c r="V89" s="14">
        <f>SUMIFS(tblNonPayrollIncrementalSpend[2027 Incremental Spend],tblNonPayrollIncrementalSpend[Type of Expense],$T89,tblNonPayrollIncrementalSpend[Group],$T$1)</f>
        <v>0</v>
      </c>
      <c r="W89" s="14">
        <f>SUMIFS(tblNonPayrollIncrementalSpend[2028 Incremental Spend],tblNonPayrollIncrementalSpend[Type of Expense],$T89,tblNonPayrollIncrementalSpend[Group],$T$1)</f>
        <v>0</v>
      </c>
      <c r="X89" s="14">
        <f>SUMIFS(tblNonPayrollIncrementalSpend[2029 Incremental Spend],tblNonPayrollIncrementalSpend[Type of Expense],$T89,tblNonPayrollIncrementalSpend[Group],$T$1)</f>
        <v>0</v>
      </c>
      <c r="Z89" s="7" t="s">
        <v>10</v>
      </c>
      <c r="AA89" s="14"/>
      <c r="AB89" s="14">
        <f>SUMIFS(tblNonPayrollIncrementalSpend[2027 Incremental Spend],tblNonPayrollIncrementalSpend[Type of Expense],$Z89,tblNonPayrollIncrementalSpend[Group],$Z$1)</f>
        <v>0</v>
      </c>
      <c r="AC89" s="14">
        <f>SUMIFS(tblNonPayrollIncrementalSpend[2028 Incremental Spend],tblNonPayrollIncrementalSpend[Type of Expense],$Z89,tblNonPayrollIncrementalSpend[Group],$Z$1)</f>
        <v>0</v>
      </c>
      <c r="AD89" s="14">
        <f>SUMIFS(tblNonPayrollIncrementalSpend[2029 Incremental Spend],tblNonPayrollIncrementalSpend[Type of Expense],$Z89,tblNonPayrollIncrementalSpend[Group],$Z$1)</f>
        <v>0</v>
      </c>
    </row>
    <row r="90" spans="2:30" x14ac:dyDescent="0.35">
      <c r="B90" s="9" t="s">
        <v>40</v>
      </c>
      <c r="C90" s="13"/>
      <c r="D90" s="13">
        <f>SUM(D81:D89)</f>
        <v>0</v>
      </c>
      <c r="E90" s="60">
        <f>SUM(E81:E89)</f>
        <v>0</v>
      </c>
      <c r="F90" s="60">
        <f>SUM(F81:F89)</f>
        <v>0</v>
      </c>
      <c r="H90" s="9" t="s">
        <v>40</v>
      </c>
      <c r="I90" s="13"/>
      <c r="J90" s="13">
        <f>SUM(J81:J89)</f>
        <v>0</v>
      </c>
      <c r="K90" s="60">
        <f>SUM(K81:K89)</f>
        <v>0</v>
      </c>
      <c r="L90" s="60">
        <f>SUM(L81:L89)</f>
        <v>0</v>
      </c>
      <c r="N90" s="9" t="s">
        <v>40</v>
      </c>
      <c r="O90" s="13"/>
      <c r="P90" s="13">
        <f>SUM(P81:P89)</f>
        <v>0</v>
      </c>
      <c r="Q90" s="60">
        <f>SUM(Q81:Q89)</f>
        <v>0</v>
      </c>
      <c r="R90" s="60">
        <f>SUM(R81:R89)</f>
        <v>0</v>
      </c>
      <c r="T90" s="9" t="s">
        <v>40</v>
      </c>
      <c r="U90" s="13"/>
      <c r="V90" s="13">
        <f>SUM(V81:V89)</f>
        <v>0</v>
      </c>
      <c r="W90" s="60">
        <f>SUM(W81:W89)</f>
        <v>0</v>
      </c>
      <c r="X90" s="60">
        <f>SUM(X81:X89)</f>
        <v>0</v>
      </c>
      <c r="Z90" s="9" t="s">
        <v>40</v>
      </c>
      <c r="AA90" s="13"/>
      <c r="AB90" s="13">
        <f>SUM(AB81:AB89)</f>
        <v>0</v>
      </c>
      <c r="AC90" s="60">
        <f>SUM(AC81:AC89)</f>
        <v>0</v>
      </c>
      <c r="AD90" s="60">
        <f>SUM(AD81:AD89)</f>
        <v>0</v>
      </c>
    </row>
    <row r="91" spans="2:30" x14ac:dyDescent="0.35">
      <c r="B91" s="7"/>
      <c r="C91" s="14"/>
      <c r="D91" s="14"/>
      <c r="E91" s="14"/>
      <c r="F91" s="14"/>
      <c r="H91" s="7"/>
      <c r="I91" s="14"/>
      <c r="J91" s="14"/>
      <c r="K91" s="14"/>
      <c r="L91" s="14"/>
      <c r="N91" s="7"/>
      <c r="O91" s="14"/>
      <c r="P91" s="14"/>
      <c r="Q91" s="14"/>
      <c r="R91" s="14"/>
      <c r="T91" s="7"/>
      <c r="U91" s="14"/>
      <c r="V91" s="14"/>
      <c r="W91" s="14"/>
      <c r="X91" s="14"/>
      <c r="Z91" s="7"/>
      <c r="AA91" s="14"/>
      <c r="AB91" s="14"/>
      <c r="AC91" s="14"/>
      <c r="AD91" s="14"/>
    </row>
    <row r="92" spans="2:30" outlineLevel="1" x14ac:dyDescent="0.35">
      <c r="B92" s="7" t="s">
        <v>12</v>
      </c>
      <c r="C92" s="12"/>
      <c r="D92" s="12">
        <f>SUMIF(tblNonPayrollIncrementalSpend[Type of Expense],$B92,tblNonPayrollIncrementalSpend[2027 Incremental Spend])</f>
        <v>0</v>
      </c>
      <c r="E92" s="12">
        <f>SUMIF(tblNonPayrollIncrementalSpend[Type of Expense],$B92,tblNonPayrollIncrementalSpend[2028 Incremental Spend])</f>
        <v>0</v>
      </c>
      <c r="F92" s="12">
        <f>SUMIF(tblNonPayrollIncrementalSpend[Type of Expense],$B92,tblNonPayrollIncrementalSpend[2029 Incremental Spend])</f>
        <v>0</v>
      </c>
      <c r="H92" s="7" t="s">
        <v>12</v>
      </c>
      <c r="I92" s="12"/>
      <c r="J92" s="12">
        <f>SUMIFS(tblNonPayrollIncrementalSpend[2027 Incremental Spend],tblNonPayrollIncrementalSpend[Type of Expense],$H92,tblNonPayrollIncrementalSpend[Group],$H$1)</f>
        <v>0</v>
      </c>
      <c r="K92" s="12">
        <f>SUMIFS(tblNonPayrollIncrementalSpend[2028 Incremental Spend],tblNonPayrollIncrementalSpend[Type of Expense],$H92,tblNonPayrollIncrementalSpend[Group],$H$1)</f>
        <v>0</v>
      </c>
      <c r="L92" s="12">
        <f>SUMIFS(tblNonPayrollIncrementalSpend[2029 Incremental Spend],tblNonPayrollIncrementalSpend[Type of Expense],$H92,tblNonPayrollIncrementalSpend[Group],$H$1)</f>
        <v>0</v>
      </c>
      <c r="N92" s="7" t="s">
        <v>12</v>
      </c>
      <c r="O92" s="12"/>
      <c r="P92" s="12">
        <f>SUMIFS(tblNonPayrollIncrementalSpend[2027 Incremental Spend],tblNonPayrollIncrementalSpend[Type of Expense],$N92,tblNonPayrollIncrementalSpend[Group],$N$1)</f>
        <v>0</v>
      </c>
      <c r="Q92" s="12">
        <f>SUMIFS(tblNonPayrollIncrementalSpend[2028 Incremental Spend],tblNonPayrollIncrementalSpend[Type of Expense],$N92,tblNonPayrollIncrementalSpend[Group],$N$1)</f>
        <v>0</v>
      </c>
      <c r="R92" s="12">
        <f>SUMIFS(tblNonPayrollIncrementalSpend[2029 Incremental Spend],tblNonPayrollIncrementalSpend[Type of Expense],$N92,tblNonPayrollIncrementalSpend[Group],$N$1)</f>
        <v>0</v>
      </c>
      <c r="T92" s="7" t="s">
        <v>12</v>
      </c>
      <c r="U92" s="12"/>
      <c r="V92" s="12">
        <f>SUMIFS(tblNonPayrollIncrementalSpend[2027 Incremental Spend],tblNonPayrollIncrementalSpend[Type of Expense],$T92,tblNonPayrollIncrementalSpend[Group],$T$1)</f>
        <v>0</v>
      </c>
      <c r="W92" s="12">
        <f>SUMIFS(tblNonPayrollIncrementalSpend[2028 Incremental Spend],tblNonPayrollIncrementalSpend[Type of Expense],$T92,tblNonPayrollIncrementalSpend[Group],$T$1)</f>
        <v>0</v>
      </c>
      <c r="X92" s="12">
        <f>SUMIFS(tblNonPayrollIncrementalSpend[2029 Incremental Spend],tblNonPayrollIncrementalSpend[Type of Expense],$T92,tblNonPayrollIncrementalSpend[Group],$T$1)</f>
        <v>0</v>
      </c>
      <c r="Z92" s="7" t="s">
        <v>12</v>
      </c>
      <c r="AA92" s="12"/>
      <c r="AB92" s="12">
        <f>SUMIFS(tblNonPayrollIncrementalSpend[2027 Incremental Spend],tblNonPayrollIncrementalSpend[Type of Expense],$Z92,tblNonPayrollIncrementalSpend[Group],$Z$1)</f>
        <v>0</v>
      </c>
      <c r="AC92" s="12">
        <f>SUMIFS(tblNonPayrollIncrementalSpend[2028 Incremental Spend],tblNonPayrollIncrementalSpend[Type of Expense],$Z92,tblNonPayrollIncrementalSpend[Group],$Z$1)</f>
        <v>0</v>
      </c>
      <c r="AD92" s="12">
        <f>SUMIFS(tblNonPayrollIncrementalSpend[2029 Incremental Spend],tblNonPayrollIncrementalSpend[Type of Expense],$Z92,tblNonPayrollIncrementalSpend[Group],$Z$1)</f>
        <v>0</v>
      </c>
    </row>
    <row r="93" spans="2:30" outlineLevel="1" x14ac:dyDescent="0.35">
      <c r="B93" s="7" t="s">
        <v>13</v>
      </c>
      <c r="C93" s="12"/>
      <c r="D93" s="12">
        <f>SUMIF(tblNonPayrollIncrementalSpend[Type of Expense],$B93,tblNonPayrollIncrementalSpend[2027 Incremental Spend])</f>
        <v>0</v>
      </c>
      <c r="E93" s="12">
        <f>SUMIF(tblNonPayrollIncrementalSpend[Type of Expense],$B93,tblNonPayrollIncrementalSpend[2028 Incremental Spend])</f>
        <v>0</v>
      </c>
      <c r="F93" s="12">
        <f>SUMIF(tblNonPayrollIncrementalSpend[Type of Expense],$B93,tblNonPayrollIncrementalSpend[2029 Incremental Spend])</f>
        <v>0</v>
      </c>
      <c r="H93" s="7" t="s">
        <v>13</v>
      </c>
      <c r="I93" s="12"/>
      <c r="J93" s="12">
        <f>SUMIFS(tblNonPayrollIncrementalSpend[2027 Incremental Spend],tblNonPayrollIncrementalSpend[Type of Expense],$H93,tblNonPayrollIncrementalSpend[Group],$H$1)</f>
        <v>0</v>
      </c>
      <c r="K93" s="12">
        <f>SUMIFS(tblNonPayrollIncrementalSpend[2028 Incremental Spend],tblNonPayrollIncrementalSpend[Type of Expense],$H93,tblNonPayrollIncrementalSpend[Group],$H$1)</f>
        <v>0</v>
      </c>
      <c r="L93" s="12">
        <f>SUMIFS(tblNonPayrollIncrementalSpend[2029 Incremental Spend],tblNonPayrollIncrementalSpend[Type of Expense],$H93,tblNonPayrollIncrementalSpend[Group],$H$1)</f>
        <v>0</v>
      </c>
      <c r="N93" s="7" t="s">
        <v>13</v>
      </c>
      <c r="O93" s="12"/>
      <c r="P93" s="12">
        <f>SUMIFS(tblNonPayrollIncrementalSpend[2027 Incremental Spend],tblNonPayrollIncrementalSpend[Type of Expense],$N93,tblNonPayrollIncrementalSpend[Group],$N$1)</f>
        <v>0</v>
      </c>
      <c r="Q93" s="12">
        <f>SUMIFS(tblNonPayrollIncrementalSpend[2028 Incremental Spend],tblNonPayrollIncrementalSpend[Type of Expense],$N93,tblNonPayrollIncrementalSpend[Group],$N$1)</f>
        <v>0</v>
      </c>
      <c r="R93" s="12">
        <f>SUMIFS(tblNonPayrollIncrementalSpend[2029 Incremental Spend],tblNonPayrollIncrementalSpend[Type of Expense],$N93,tblNonPayrollIncrementalSpend[Group],$N$1)</f>
        <v>0</v>
      </c>
      <c r="T93" s="7" t="s">
        <v>13</v>
      </c>
      <c r="U93" s="12"/>
      <c r="V93" s="12">
        <f>SUMIFS(tblNonPayrollIncrementalSpend[2027 Incremental Spend],tblNonPayrollIncrementalSpend[Type of Expense],$T93,tblNonPayrollIncrementalSpend[Group],$T$1)</f>
        <v>0</v>
      </c>
      <c r="W93" s="12">
        <f>SUMIFS(tblNonPayrollIncrementalSpend[2028 Incremental Spend],tblNonPayrollIncrementalSpend[Type of Expense],$T93,tblNonPayrollIncrementalSpend[Group],$T$1)</f>
        <v>0</v>
      </c>
      <c r="X93" s="12">
        <f>SUMIFS(tblNonPayrollIncrementalSpend[2029 Incremental Spend],tblNonPayrollIncrementalSpend[Type of Expense],$T93,tblNonPayrollIncrementalSpend[Group],$T$1)</f>
        <v>0</v>
      </c>
      <c r="Z93" s="7" t="s">
        <v>13</v>
      </c>
      <c r="AA93" s="12"/>
      <c r="AB93" s="12">
        <f>SUMIFS(tblNonPayrollIncrementalSpend[2027 Incremental Spend],tblNonPayrollIncrementalSpend[Type of Expense],$Z93,tblNonPayrollIncrementalSpend[Group],$Z$1)</f>
        <v>0</v>
      </c>
      <c r="AC93" s="12">
        <f>SUMIFS(tblNonPayrollIncrementalSpend[2028 Incremental Spend],tblNonPayrollIncrementalSpend[Type of Expense],$Z93,tblNonPayrollIncrementalSpend[Group],$Z$1)</f>
        <v>0</v>
      </c>
      <c r="AD93" s="12">
        <f>SUMIFS(tblNonPayrollIncrementalSpend[2029 Incremental Spend],tblNonPayrollIncrementalSpend[Type of Expense],$Z93,tblNonPayrollIncrementalSpend[Group],$Z$1)</f>
        <v>0</v>
      </c>
    </row>
    <row r="94" spans="2:30" outlineLevel="1" x14ac:dyDescent="0.35">
      <c r="B94" s="7" t="s">
        <v>14</v>
      </c>
      <c r="C94" s="12"/>
      <c r="D94" s="12">
        <f>SUMIF(tblNonPayrollIncrementalSpend[Type of Expense],$B94,tblNonPayrollIncrementalSpend[2027 Incremental Spend])</f>
        <v>0</v>
      </c>
      <c r="E94" s="12">
        <f>SUMIF(tblNonPayrollIncrementalSpend[Type of Expense],$B94,tblNonPayrollIncrementalSpend[2028 Incremental Spend])</f>
        <v>0</v>
      </c>
      <c r="F94" s="12">
        <f>SUMIF(tblNonPayrollIncrementalSpend[Type of Expense],$B94,tblNonPayrollIncrementalSpend[2029 Incremental Spend])</f>
        <v>0</v>
      </c>
      <c r="H94" s="7" t="s">
        <v>14</v>
      </c>
      <c r="I94" s="12"/>
      <c r="J94" s="12">
        <f>SUMIFS(tblNonPayrollIncrementalSpend[2027 Incremental Spend],tblNonPayrollIncrementalSpend[Type of Expense],$H94,tblNonPayrollIncrementalSpend[Group],$H$1)</f>
        <v>0</v>
      </c>
      <c r="K94" s="12">
        <f>SUMIFS(tblNonPayrollIncrementalSpend[2028 Incremental Spend],tblNonPayrollIncrementalSpend[Type of Expense],$H94,tblNonPayrollIncrementalSpend[Group],$H$1)</f>
        <v>0</v>
      </c>
      <c r="L94" s="12">
        <f>SUMIFS(tblNonPayrollIncrementalSpend[2029 Incremental Spend],tblNonPayrollIncrementalSpend[Type of Expense],$H94,tblNonPayrollIncrementalSpend[Group],$H$1)</f>
        <v>0</v>
      </c>
      <c r="N94" s="7" t="s">
        <v>14</v>
      </c>
      <c r="O94" s="12"/>
      <c r="P94" s="12">
        <f>SUMIFS(tblNonPayrollIncrementalSpend[2027 Incremental Spend],tblNonPayrollIncrementalSpend[Type of Expense],$N94,tblNonPayrollIncrementalSpend[Group],$N$1)</f>
        <v>0</v>
      </c>
      <c r="Q94" s="12">
        <f>SUMIFS(tblNonPayrollIncrementalSpend[2028 Incremental Spend],tblNonPayrollIncrementalSpend[Type of Expense],$N94,tblNonPayrollIncrementalSpend[Group],$N$1)</f>
        <v>0</v>
      </c>
      <c r="R94" s="12">
        <f>SUMIFS(tblNonPayrollIncrementalSpend[2029 Incremental Spend],tblNonPayrollIncrementalSpend[Type of Expense],$N94,tblNonPayrollIncrementalSpend[Group],$N$1)</f>
        <v>0</v>
      </c>
      <c r="T94" s="7" t="s">
        <v>14</v>
      </c>
      <c r="U94" s="12"/>
      <c r="V94" s="12">
        <f>SUMIFS(tblNonPayrollIncrementalSpend[2027 Incremental Spend],tblNonPayrollIncrementalSpend[Type of Expense],$T94,tblNonPayrollIncrementalSpend[Group],$T$1)</f>
        <v>0</v>
      </c>
      <c r="W94" s="12">
        <f>SUMIFS(tblNonPayrollIncrementalSpend[2028 Incremental Spend],tblNonPayrollIncrementalSpend[Type of Expense],$T94,tblNonPayrollIncrementalSpend[Group],$T$1)</f>
        <v>0</v>
      </c>
      <c r="X94" s="12">
        <f>SUMIFS(tblNonPayrollIncrementalSpend[2029 Incremental Spend],tblNonPayrollIncrementalSpend[Type of Expense],$T94,tblNonPayrollIncrementalSpend[Group],$T$1)</f>
        <v>0</v>
      </c>
      <c r="Z94" s="7" t="s">
        <v>14</v>
      </c>
      <c r="AA94" s="12"/>
      <c r="AB94" s="12">
        <f>SUMIFS(tblNonPayrollIncrementalSpend[2027 Incremental Spend],tblNonPayrollIncrementalSpend[Type of Expense],$Z94,tblNonPayrollIncrementalSpend[Group],$Z$1)</f>
        <v>0</v>
      </c>
      <c r="AC94" s="12">
        <f>SUMIFS(tblNonPayrollIncrementalSpend[2028 Incremental Spend],tblNonPayrollIncrementalSpend[Type of Expense],$Z94,tblNonPayrollIncrementalSpend[Group],$Z$1)</f>
        <v>0</v>
      </c>
      <c r="AD94" s="12">
        <f>SUMIFS(tblNonPayrollIncrementalSpend[2029 Incremental Spend],tblNonPayrollIncrementalSpend[Type of Expense],$Z94,tblNonPayrollIncrementalSpend[Group],$Z$1)</f>
        <v>0</v>
      </c>
    </row>
    <row r="95" spans="2:30" outlineLevel="1" x14ac:dyDescent="0.35">
      <c r="B95" s="7" t="s">
        <v>15</v>
      </c>
      <c r="C95" s="12"/>
      <c r="D95" s="12">
        <f>SUMIF(tblNonPayrollIncrementalSpend[Type of Expense],$B95,tblNonPayrollIncrementalSpend[2027 Incremental Spend])</f>
        <v>0</v>
      </c>
      <c r="E95" s="12">
        <f>SUMIF(tblNonPayrollIncrementalSpend[Type of Expense],$B95,tblNonPayrollIncrementalSpend[2028 Incremental Spend])</f>
        <v>0</v>
      </c>
      <c r="F95" s="12">
        <f>SUMIF(tblNonPayrollIncrementalSpend[Type of Expense],$B95,tblNonPayrollIncrementalSpend[2029 Incremental Spend])</f>
        <v>0</v>
      </c>
      <c r="H95" s="7" t="s">
        <v>15</v>
      </c>
      <c r="I95" s="12"/>
      <c r="J95" s="12">
        <f>SUMIFS(tblNonPayrollIncrementalSpend[2027 Incremental Spend],tblNonPayrollIncrementalSpend[Type of Expense],$H95,tblNonPayrollIncrementalSpend[Group],$H$1)</f>
        <v>0</v>
      </c>
      <c r="K95" s="12">
        <f>SUMIFS(tblNonPayrollIncrementalSpend[2028 Incremental Spend],tblNonPayrollIncrementalSpend[Type of Expense],$H95,tblNonPayrollIncrementalSpend[Group],$H$1)</f>
        <v>0</v>
      </c>
      <c r="L95" s="12">
        <f>SUMIFS(tblNonPayrollIncrementalSpend[2029 Incremental Spend],tblNonPayrollIncrementalSpend[Type of Expense],$H95,tblNonPayrollIncrementalSpend[Group],$H$1)</f>
        <v>0</v>
      </c>
      <c r="N95" s="7" t="s">
        <v>15</v>
      </c>
      <c r="O95" s="12"/>
      <c r="P95" s="12">
        <f>SUMIFS(tblNonPayrollIncrementalSpend[2027 Incremental Spend],tblNonPayrollIncrementalSpend[Type of Expense],$N95,tblNonPayrollIncrementalSpend[Group],$N$1)</f>
        <v>0</v>
      </c>
      <c r="Q95" s="12">
        <f>SUMIFS(tblNonPayrollIncrementalSpend[2028 Incremental Spend],tblNonPayrollIncrementalSpend[Type of Expense],$N95,tblNonPayrollIncrementalSpend[Group],$N$1)</f>
        <v>0</v>
      </c>
      <c r="R95" s="12">
        <f>SUMIFS(tblNonPayrollIncrementalSpend[2029 Incremental Spend],tblNonPayrollIncrementalSpend[Type of Expense],$N95,tblNonPayrollIncrementalSpend[Group],$N$1)</f>
        <v>0</v>
      </c>
      <c r="T95" s="7" t="s">
        <v>15</v>
      </c>
      <c r="U95" s="12"/>
      <c r="V95" s="12">
        <f>SUMIFS(tblNonPayrollIncrementalSpend[2027 Incremental Spend],tblNonPayrollIncrementalSpend[Type of Expense],$T95,tblNonPayrollIncrementalSpend[Group],$T$1)</f>
        <v>0</v>
      </c>
      <c r="W95" s="12">
        <f>SUMIFS(tblNonPayrollIncrementalSpend[2028 Incremental Spend],tblNonPayrollIncrementalSpend[Type of Expense],$T95,tblNonPayrollIncrementalSpend[Group],$T$1)</f>
        <v>0</v>
      </c>
      <c r="X95" s="12">
        <f>SUMIFS(tblNonPayrollIncrementalSpend[2029 Incremental Spend],tblNonPayrollIncrementalSpend[Type of Expense],$T95,tblNonPayrollIncrementalSpend[Group],$T$1)</f>
        <v>0</v>
      </c>
      <c r="Z95" s="7" t="s">
        <v>15</v>
      </c>
      <c r="AA95" s="12"/>
      <c r="AB95" s="12">
        <f>SUMIFS(tblNonPayrollIncrementalSpend[2027 Incremental Spend],tblNonPayrollIncrementalSpend[Type of Expense],$Z95,tblNonPayrollIncrementalSpend[Group],$Z$1)</f>
        <v>0</v>
      </c>
      <c r="AC95" s="12">
        <f>SUMIFS(tblNonPayrollIncrementalSpend[2028 Incremental Spend],tblNonPayrollIncrementalSpend[Type of Expense],$Z95,tblNonPayrollIncrementalSpend[Group],$Z$1)</f>
        <v>0</v>
      </c>
      <c r="AD95" s="12">
        <f>SUMIFS(tblNonPayrollIncrementalSpend[2029 Incremental Spend],tblNonPayrollIncrementalSpend[Type of Expense],$Z95,tblNonPayrollIncrementalSpend[Group],$Z$1)</f>
        <v>0</v>
      </c>
    </row>
    <row r="96" spans="2:30" outlineLevel="1" x14ac:dyDescent="0.35">
      <c r="B96" s="7" t="s">
        <v>16</v>
      </c>
      <c r="C96" s="12"/>
      <c r="D96" s="12">
        <f>SUMIF(tblNonPayrollIncrementalSpend[Type of Expense],$B96,tblNonPayrollIncrementalSpend[2027 Incremental Spend])</f>
        <v>0</v>
      </c>
      <c r="E96" s="12">
        <f>SUMIF(tblNonPayrollIncrementalSpend[Type of Expense],$B96,tblNonPayrollIncrementalSpend[2028 Incremental Spend])</f>
        <v>0</v>
      </c>
      <c r="F96" s="12">
        <f>SUMIF(tblNonPayrollIncrementalSpend[Type of Expense],$B96,tblNonPayrollIncrementalSpend[2029 Incremental Spend])</f>
        <v>0</v>
      </c>
      <c r="H96" s="7" t="s">
        <v>16</v>
      </c>
      <c r="I96" s="12"/>
      <c r="J96" s="12">
        <f>SUMIFS(tblNonPayrollIncrementalSpend[2027 Incremental Spend],tblNonPayrollIncrementalSpend[Type of Expense],$H96,tblNonPayrollIncrementalSpend[Group],$H$1)</f>
        <v>0</v>
      </c>
      <c r="K96" s="12">
        <f>SUMIFS(tblNonPayrollIncrementalSpend[2028 Incremental Spend],tblNonPayrollIncrementalSpend[Type of Expense],$H96,tblNonPayrollIncrementalSpend[Group],$H$1)</f>
        <v>0</v>
      </c>
      <c r="L96" s="12">
        <f>SUMIFS(tblNonPayrollIncrementalSpend[2029 Incremental Spend],tblNonPayrollIncrementalSpend[Type of Expense],$H96,tblNonPayrollIncrementalSpend[Group],$H$1)</f>
        <v>0</v>
      </c>
      <c r="N96" s="7" t="s">
        <v>16</v>
      </c>
      <c r="O96" s="12"/>
      <c r="P96" s="12">
        <f>SUMIFS(tblNonPayrollIncrementalSpend[2027 Incremental Spend],tblNonPayrollIncrementalSpend[Type of Expense],$N96,tblNonPayrollIncrementalSpend[Group],$N$1)</f>
        <v>0</v>
      </c>
      <c r="Q96" s="12">
        <f>SUMIFS(tblNonPayrollIncrementalSpend[2028 Incremental Spend],tblNonPayrollIncrementalSpend[Type of Expense],$N96,tblNonPayrollIncrementalSpend[Group],$N$1)</f>
        <v>0</v>
      </c>
      <c r="R96" s="12">
        <f>SUMIFS(tblNonPayrollIncrementalSpend[2029 Incremental Spend],tblNonPayrollIncrementalSpend[Type of Expense],$N96,tblNonPayrollIncrementalSpend[Group],$N$1)</f>
        <v>0</v>
      </c>
      <c r="T96" s="7" t="s">
        <v>16</v>
      </c>
      <c r="U96" s="12"/>
      <c r="V96" s="12">
        <f>SUMIFS(tblNonPayrollIncrementalSpend[2027 Incremental Spend],tblNonPayrollIncrementalSpend[Type of Expense],$T96,tblNonPayrollIncrementalSpend[Group],$T$1)</f>
        <v>0</v>
      </c>
      <c r="W96" s="12">
        <f>SUMIFS(tblNonPayrollIncrementalSpend[2028 Incremental Spend],tblNonPayrollIncrementalSpend[Type of Expense],$T96,tblNonPayrollIncrementalSpend[Group],$T$1)</f>
        <v>0</v>
      </c>
      <c r="X96" s="12">
        <f>SUMIFS(tblNonPayrollIncrementalSpend[2029 Incremental Spend],tblNonPayrollIncrementalSpend[Type of Expense],$T96,tblNonPayrollIncrementalSpend[Group],$T$1)</f>
        <v>0</v>
      </c>
      <c r="Z96" s="7" t="s">
        <v>16</v>
      </c>
      <c r="AA96" s="12"/>
      <c r="AB96" s="12">
        <f>SUMIFS(tblNonPayrollIncrementalSpend[2027 Incremental Spend],tblNonPayrollIncrementalSpend[Type of Expense],$Z96,tblNonPayrollIncrementalSpend[Group],$Z$1)</f>
        <v>0</v>
      </c>
      <c r="AC96" s="12">
        <f>SUMIFS(tblNonPayrollIncrementalSpend[2028 Incremental Spend],tblNonPayrollIncrementalSpend[Type of Expense],$Z96,tblNonPayrollIncrementalSpend[Group],$Z$1)</f>
        <v>0</v>
      </c>
      <c r="AD96" s="12">
        <f>SUMIFS(tblNonPayrollIncrementalSpend[2029 Incremental Spend],tblNonPayrollIncrementalSpend[Type of Expense],$Z96,tblNonPayrollIncrementalSpend[Group],$Z$1)</f>
        <v>0</v>
      </c>
    </row>
    <row r="97" spans="2:30" outlineLevel="1" x14ac:dyDescent="0.35">
      <c r="B97" s="7" t="s">
        <v>17</v>
      </c>
      <c r="C97" s="12"/>
      <c r="D97" s="12">
        <f>SUMIF(tblNonPayrollIncrementalSpend[Type of Expense],$B97,tblNonPayrollIncrementalSpend[2027 Incremental Spend])</f>
        <v>0</v>
      </c>
      <c r="E97" s="12">
        <f>SUMIF(tblNonPayrollIncrementalSpend[Type of Expense],$B97,tblNonPayrollIncrementalSpend[2028 Incremental Spend])</f>
        <v>0</v>
      </c>
      <c r="F97" s="12">
        <f>SUMIF(tblNonPayrollIncrementalSpend[Type of Expense],$B97,tblNonPayrollIncrementalSpend[2029 Incremental Spend])</f>
        <v>0</v>
      </c>
      <c r="H97" s="7" t="s">
        <v>17</v>
      </c>
      <c r="I97" s="12"/>
      <c r="J97" s="12">
        <f>SUMIFS(tblNonPayrollIncrementalSpend[2027 Incremental Spend],tblNonPayrollIncrementalSpend[Type of Expense],$H97,tblNonPayrollIncrementalSpend[Group],$H$1)</f>
        <v>0</v>
      </c>
      <c r="K97" s="12">
        <f>SUMIFS(tblNonPayrollIncrementalSpend[2028 Incremental Spend],tblNonPayrollIncrementalSpend[Type of Expense],$H97,tblNonPayrollIncrementalSpend[Group],$H$1)</f>
        <v>0</v>
      </c>
      <c r="L97" s="12">
        <f>SUMIFS(tblNonPayrollIncrementalSpend[2029 Incremental Spend],tblNonPayrollIncrementalSpend[Type of Expense],$H97,tblNonPayrollIncrementalSpend[Group],$H$1)</f>
        <v>0</v>
      </c>
      <c r="N97" s="7" t="s">
        <v>17</v>
      </c>
      <c r="O97" s="12"/>
      <c r="P97" s="12">
        <f>SUMIFS(tblNonPayrollIncrementalSpend[2027 Incremental Spend],tblNonPayrollIncrementalSpend[Type of Expense],$N97,tblNonPayrollIncrementalSpend[Group],$N$1)</f>
        <v>0</v>
      </c>
      <c r="Q97" s="12">
        <f>SUMIFS(tblNonPayrollIncrementalSpend[2028 Incremental Spend],tblNonPayrollIncrementalSpend[Type of Expense],$N97,tblNonPayrollIncrementalSpend[Group],$N$1)</f>
        <v>0</v>
      </c>
      <c r="R97" s="12">
        <f>SUMIFS(tblNonPayrollIncrementalSpend[2029 Incremental Spend],tblNonPayrollIncrementalSpend[Type of Expense],$N97,tblNonPayrollIncrementalSpend[Group],$N$1)</f>
        <v>0</v>
      </c>
      <c r="T97" s="7" t="s">
        <v>17</v>
      </c>
      <c r="U97" s="12"/>
      <c r="V97" s="12">
        <f>SUMIFS(tblNonPayrollIncrementalSpend[2027 Incremental Spend],tblNonPayrollIncrementalSpend[Type of Expense],$T97,tblNonPayrollIncrementalSpend[Group],$T$1)</f>
        <v>0</v>
      </c>
      <c r="W97" s="12">
        <f>SUMIFS(tblNonPayrollIncrementalSpend[2028 Incremental Spend],tblNonPayrollIncrementalSpend[Type of Expense],$T97,tblNonPayrollIncrementalSpend[Group],$T$1)</f>
        <v>0</v>
      </c>
      <c r="X97" s="12">
        <f>SUMIFS(tblNonPayrollIncrementalSpend[2029 Incremental Spend],tblNonPayrollIncrementalSpend[Type of Expense],$T97,tblNonPayrollIncrementalSpend[Group],$T$1)</f>
        <v>0</v>
      </c>
      <c r="Z97" s="7" t="s">
        <v>17</v>
      </c>
      <c r="AA97" s="12"/>
      <c r="AB97" s="12">
        <f>SUMIFS(tblNonPayrollIncrementalSpend[2027 Incremental Spend],tblNonPayrollIncrementalSpend[Type of Expense],$Z97,tblNonPayrollIncrementalSpend[Group],$Z$1)</f>
        <v>0</v>
      </c>
      <c r="AC97" s="12">
        <f>SUMIFS(tblNonPayrollIncrementalSpend[2028 Incremental Spend],tblNonPayrollIncrementalSpend[Type of Expense],$Z97,tblNonPayrollIncrementalSpend[Group],$Z$1)</f>
        <v>0</v>
      </c>
      <c r="AD97" s="12">
        <f>SUMIFS(tblNonPayrollIncrementalSpend[2029 Incremental Spend],tblNonPayrollIncrementalSpend[Type of Expense],$Z97,tblNonPayrollIncrementalSpend[Group],$Z$1)</f>
        <v>0</v>
      </c>
    </row>
    <row r="98" spans="2:30" outlineLevel="1" x14ac:dyDescent="0.35">
      <c r="B98" s="7" t="s">
        <v>18</v>
      </c>
      <c r="C98" s="12"/>
      <c r="D98" s="12">
        <f>SUMIF(tblNonPayrollIncrementalSpend[Type of Expense],$B98,tblNonPayrollIncrementalSpend[2027 Incremental Spend])</f>
        <v>0</v>
      </c>
      <c r="E98" s="12">
        <f>SUMIF(tblNonPayrollIncrementalSpend[Type of Expense],$B98,tblNonPayrollIncrementalSpend[2028 Incremental Spend])</f>
        <v>0</v>
      </c>
      <c r="F98" s="12">
        <f>SUMIF(tblNonPayrollIncrementalSpend[Type of Expense],$B98,tblNonPayrollIncrementalSpend[2029 Incremental Spend])</f>
        <v>0</v>
      </c>
      <c r="H98" s="7" t="s">
        <v>18</v>
      </c>
      <c r="I98" s="12"/>
      <c r="J98" s="12">
        <f>SUMIFS(tblNonPayrollIncrementalSpend[2027 Incremental Spend],tblNonPayrollIncrementalSpend[Type of Expense],$H98,tblNonPayrollIncrementalSpend[Group],$H$1)</f>
        <v>0</v>
      </c>
      <c r="K98" s="12">
        <f>SUMIFS(tblNonPayrollIncrementalSpend[2028 Incremental Spend],tblNonPayrollIncrementalSpend[Type of Expense],$H98,tblNonPayrollIncrementalSpend[Group],$H$1)</f>
        <v>0</v>
      </c>
      <c r="L98" s="12">
        <f>SUMIFS(tblNonPayrollIncrementalSpend[2029 Incremental Spend],tblNonPayrollIncrementalSpend[Type of Expense],$H98,tblNonPayrollIncrementalSpend[Group],$H$1)</f>
        <v>0</v>
      </c>
      <c r="N98" s="7" t="s">
        <v>18</v>
      </c>
      <c r="O98" s="12"/>
      <c r="P98" s="12">
        <f>SUMIFS(tblNonPayrollIncrementalSpend[2027 Incremental Spend],tblNonPayrollIncrementalSpend[Type of Expense],$N98,tblNonPayrollIncrementalSpend[Group],$N$1)</f>
        <v>0</v>
      </c>
      <c r="Q98" s="12">
        <f>SUMIFS(tblNonPayrollIncrementalSpend[2028 Incremental Spend],tblNonPayrollIncrementalSpend[Type of Expense],$N98,tblNonPayrollIncrementalSpend[Group],$N$1)</f>
        <v>0</v>
      </c>
      <c r="R98" s="12">
        <f>SUMIFS(tblNonPayrollIncrementalSpend[2029 Incremental Spend],tblNonPayrollIncrementalSpend[Type of Expense],$N98,tblNonPayrollIncrementalSpend[Group],$N$1)</f>
        <v>0</v>
      </c>
      <c r="T98" s="7" t="s">
        <v>18</v>
      </c>
      <c r="U98" s="12"/>
      <c r="V98" s="12">
        <f>SUMIFS(tblNonPayrollIncrementalSpend[2027 Incremental Spend],tblNonPayrollIncrementalSpend[Type of Expense],$T98,tblNonPayrollIncrementalSpend[Group],$T$1)</f>
        <v>0</v>
      </c>
      <c r="W98" s="12">
        <f>SUMIFS(tblNonPayrollIncrementalSpend[2028 Incremental Spend],tblNonPayrollIncrementalSpend[Type of Expense],$T98,tblNonPayrollIncrementalSpend[Group],$T$1)</f>
        <v>0</v>
      </c>
      <c r="X98" s="12">
        <f>SUMIFS(tblNonPayrollIncrementalSpend[2029 Incremental Spend],tblNonPayrollIncrementalSpend[Type of Expense],$T98,tblNonPayrollIncrementalSpend[Group],$T$1)</f>
        <v>0</v>
      </c>
      <c r="Z98" s="7" t="s">
        <v>18</v>
      </c>
      <c r="AA98" s="12"/>
      <c r="AB98" s="12">
        <f>SUMIFS(tblNonPayrollIncrementalSpend[2027 Incremental Spend],tblNonPayrollIncrementalSpend[Type of Expense],$Z98,tblNonPayrollIncrementalSpend[Group],$Z$1)</f>
        <v>0</v>
      </c>
      <c r="AC98" s="12">
        <f>SUMIFS(tblNonPayrollIncrementalSpend[2028 Incremental Spend],tblNonPayrollIncrementalSpend[Type of Expense],$Z98,tblNonPayrollIncrementalSpend[Group],$Z$1)</f>
        <v>0</v>
      </c>
      <c r="AD98" s="12">
        <f>SUMIFS(tblNonPayrollIncrementalSpend[2029 Incremental Spend],tblNonPayrollIncrementalSpend[Type of Expense],$Z98,tblNonPayrollIncrementalSpend[Group],$Z$1)</f>
        <v>0</v>
      </c>
    </row>
    <row r="99" spans="2:30" outlineLevel="1" x14ac:dyDescent="0.35">
      <c r="B99" s="7" t="s">
        <v>19</v>
      </c>
      <c r="C99" s="12"/>
      <c r="D99" s="12">
        <f>SUMIF(tblNonPayrollIncrementalSpend[Type of Expense],$B99,tblNonPayrollIncrementalSpend[2027 Incremental Spend])</f>
        <v>0</v>
      </c>
      <c r="E99" s="12">
        <f>SUMIF(tblNonPayrollIncrementalSpend[Type of Expense],$B99,tblNonPayrollIncrementalSpend[2028 Incremental Spend])</f>
        <v>0</v>
      </c>
      <c r="F99" s="12">
        <f>SUMIF(tblNonPayrollIncrementalSpend[Type of Expense],$B99,tblNonPayrollIncrementalSpend[2029 Incremental Spend])</f>
        <v>0</v>
      </c>
      <c r="H99" s="7" t="s">
        <v>19</v>
      </c>
      <c r="I99" s="12"/>
      <c r="J99" s="12">
        <f>SUMIFS(tblNonPayrollIncrementalSpend[2027 Incremental Spend],tblNonPayrollIncrementalSpend[Type of Expense],$H99,tblNonPayrollIncrementalSpend[Group],$H$1)</f>
        <v>0</v>
      </c>
      <c r="K99" s="12">
        <f>SUMIFS(tblNonPayrollIncrementalSpend[2028 Incremental Spend],tblNonPayrollIncrementalSpend[Type of Expense],$H99,tblNonPayrollIncrementalSpend[Group],$H$1)</f>
        <v>0</v>
      </c>
      <c r="L99" s="12">
        <f>SUMIFS(tblNonPayrollIncrementalSpend[2029 Incremental Spend],tblNonPayrollIncrementalSpend[Type of Expense],$H99,tblNonPayrollIncrementalSpend[Group],$H$1)</f>
        <v>0</v>
      </c>
      <c r="N99" s="7" t="s">
        <v>19</v>
      </c>
      <c r="O99" s="12"/>
      <c r="P99" s="12">
        <f>SUMIFS(tblNonPayrollIncrementalSpend[2027 Incremental Spend],tblNonPayrollIncrementalSpend[Type of Expense],$N99,tblNonPayrollIncrementalSpend[Group],$N$1)</f>
        <v>0</v>
      </c>
      <c r="Q99" s="12">
        <f>SUMIFS(tblNonPayrollIncrementalSpend[2028 Incremental Spend],tblNonPayrollIncrementalSpend[Type of Expense],$N99,tblNonPayrollIncrementalSpend[Group],$N$1)</f>
        <v>0</v>
      </c>
      <c r="R99" s="12">
        <f>SUMIFS(tblNonPayrollIncrementalSpend[2029 Incremental Spend],tblNonPayrollIncrementalSpend[Type of Expense],$N99,tblNonPayrollIncrementalSpend[Group],$N$1)</f>
        <v>0</v>
      </c>
      <c r="T99" s="7" t="s">
        <v>19</v>
      </c>
      <c r="U99" s="12"/>
      <c r="V99" s="12">
        <f>SUMIFS(tblNonPayrollIncrementalSpend[2027 Incremental Spend],tblNonPayrollIncrementalSpend[Type of Expense],$T99,tblNonPayrollIncrementalSpend[Group],$T$1)</f>
        <v>0</v>
      </c>
      <c r="W99" s="12">
        <f>SUMIFS(tblNonPayrollIncrementalSpend[2028 Incremental Spend],tblNonPayrollIncrementalSpend[Type of Expense],$T99,tblNonPayrollIncrementalSpend[Group],$T$1)</f>
        <v>0</v>
      </c>
      <c r="X99" s="12">
        <f>SUMIFS(tblNonPayrollIncrementalSpend[2029 Incremental Spend],tblNonPayrollIncrementalSpend[Type of Expense],$T99,tblNonPayrollIncrementalSpend[Group],$T$1)</f>
        <v>0</v>
      </c>
      <c r="Z99" s="7" t="s">
        <v>19</v>
      </c>
      <c r="AA99" s="12"/>
      <c r="AB99" s="12">
        <f>SUMIFS(tblNonPayrollIncrementalSpend[2027 Incremental Spend],tblNonPayrollIncrementalSpend[Type of Expense],$Z99,tblNonPayrollIncrementalSpend[Group],$Z$1)</f>
        <v>0</v>
      </c>
      <c r="AC99" s="12">
        <f>SUMIFS(tblNonPayrollIncrementalSpend[2028 Incremental Spend],tblNonPayrollIncrementalSpend[Type of Expense],$Z99,tblNonPayrollIncrementalSpend[Group],$Z$1)</f>
        <v>0</v>
      </c>
      <c r="AD99" s="12">
        <f>SUMIFS(tblNonPayrollIncrementalSpend[2029 Incremental Spend],tblNonPayrollIncrementalSpend[Type of Expense],$Z99,tblNonPayrollIncrementalSpend[Group],$Z$1)</f>
        <v>0</v>
      </c>
    </row>
    <row r="100" spans="2:30" outlineLevel="1" x14ac:dyDescent="0.35">
      <c r="B100" s="7" t="s">
        <v>20</v>
      </c>
      <c r="C100" s="12"/>
      <c r="D100" s="12">
        <f>SUMIF(tblNonPayrollIncrementalSpend[Type of Expense],$B100,tblNonPayrollIncrementalSpend[2027 Incremental Spend])</f>
        <v>0</v>
      </c>
      <c r="E100" s="12">
        <f>SUMIF(tblNonPayrollIncrementalSpend[Type of Expense],$B100,tblNonPayrollIncrementalSpend[2028 Incremental Spend])</f>
        <v>0</v>
      </c>
      <c r="F100" s="12">
        <f>SUMIF(tblNonPayrollIncrementalSpend[Type of Expense],$B100,tblNonPayrollIncrementalSpend[2029 Incremental Spend])</f>
        <v>0</v>
      </c>
      <c r="H100" s="7" t="s">
        <v>20</v>
      </c>
      <c r="I100" s="12"/>
      <c r="J100" s="12">
        <f>SUMIFS(tblNonPayrollIncrementalSpend[2027 Incremental Spend],tblNonPayrollIncrementalSpend[Type of Expense],$H100,tblNonPayrollIncrementalSpend[Group],$H$1)</f>
        <v>0</v>
      </c>
      <c r="K100" s="12">
        <f>SUMIFS(tblNonPayrollIncrementalSpend[2028 Incremental Spend],tblNonPayrollIncrementalSpend[Type of Expense],$H100,tblNonPayrollIncrementalSpend[Group],$H$1)</f>
        <v>0</v>
      </c>
      <c r="L100" s="12">
        <f>SUMIFS(tblNonPayrollIncrementalSpend[2029 Incremental Spend],tblNonPayrollIncrementalSpend[Type of Expense],$H100,tblNonPayrollIncrementalSpend[Group],$H$1)</f>
        <v>0</v>
      </c>
      <c r="N100" s="7" t="s">
        <v>20</v>
      </c>
      <c r="O100" s="12"/>
      <c r="P100" s="12">
        <f>SUMIFS(tblNonPayrollIncrementalSpend[2027 Incremental Spend],tblNonPayrollIncrementalSpend[Type of Expense],$N100,tblNonPayrollIncrementalSpend[Group],$N$1)</f>
        <v>0</v>
      </c>
      <c r="Q100" s="12">
        <f>SUMIFS(tblNonPayrollIncrementalSpend[2028 Incremental Spend],tblNonPayrollIncrementalSpend[Type of Expense],$N100,tblNonPayrollIncrementalSpend[Group],$N$1)</f>
        <v>0</v>
      </c>
      <c r="R100" s="12">
        <f>SUMIFS(tblNonPayrollIncrementalSpend[2029 Incremental Spend],tblNonPayrollIncrementalSpend[Type of Expense],$N100,tblNonPayrollIncrementalSpend[Group],$N$1)</f>
        <v>0</v>
      </c>
      <c r="T100" s="7" t="s">
        <v>20</v>
      </c>
      <c r="U100" s="12"/>
      <c r="V100" s="12">
        <f>SUMIFS(tblNonPayrollIncrementalSpend[2027 Incremental Spend],tblNonPayrollIncrementalSpend[Type of Expense],$T100,tblNonPayrollIncrementalSpend[Group],$T$1)</f>
        <v>0</v>
      </c>
      <c r="W100" s="12">
        <f>SUMIFS(tblNonPayrollIncrementalSpend[2028 Incremental Spend],tblNonPayrollIncrementalSpend[Type of Expense],$T100,tblNonPayrollIncrementalSpend[Group],$T$1)</f>
        <v>0</v>
      </c>
      <c r="X100" s="12">
        <f>SUMIFS(tblNonPayrollIncrementalSpend[2029 Incremental Spend],tblNonPayrollIncrementalSpend[Type of Expense],$T100,tblNonPayrollIncrementalSpend[Group],$T$1)</f>
        <v>0</v>
      </c>
      <c r="Z100" s="7" t="s">
        <v>20</v>
      </c>
      <c r="AA100" s="12"/>
      <c r="AB100" s="12">
        <f>SUMIFS(tblNonPayrollIncrementalSpend[2027 Incremental Spend],tblNonPayrollIncrementalSpend[Type of Expense],$Z100,tblNonPayrollIncrementalSpend[Group],$Z$1)</f>
        <v>0</v>
      </c>
      <c r="AC100" s="12">
        <f>SUMIFS(tblNonPayrollIncrementalSpend[2028 Incremental Spend],tblNonPayrollIncrementalSpend[Type of Expense],$Z100,tblNonPayrollIncrementalSpend[Group],$Z$1)</f>
        <v>0</v>
      </c>
      <c r="AD100" s="12">
        <f>SUMIFS(tblNonPayrollIncrementalSpend[2029 Incremental Spend],tblNonPayrollIncrementalSpend[Type of Expense],$Z100,tblNonPayrollIncrementalSpend[Group],$Z$1)</f>
        <v>0</v>
      </c>
    </row>
    <row r="101" spans="2:30" outlineLevel="1" x14ac:dyDescent="0.35">
      <c r="B101" s="7" t="s">
        <v>21</v>
      </c>
      <c r="C101" s="12"/>
      <c r="D101" s="12">
        <f>SUMIF(tblNonPayrollIncrementalSpend[Type of Expense],$B101,tblNonPayrollIncrementalSpend[2027 Incremental Spend])</f>
        <v>0</v>
      </c>
      <c r="E101" s="12">
        <f>SUMIF(tblNonPayrollIncrementalSpend[Type of Expense],$B101,tblNonPayrollIncrementalSpend[2028 Incremental Spend])</f>
        <v>0</v>
      </c>
      <c r="F101" s="12">
        <f>SUMIF(tblNonPayrollIncrementalSpend[Type of Expense],$B101,tblNonPayrollIncrementalSpend[2029 Incremental Spend])</f>
        <v>0</v>
      </c>
      <c r="H101" s="7" t="s">
        <v>21</v>
      </c>
      <c r="I101" s="12"/>
      <c r="J101" s="12">
        <f>SUMIFS(tblNonPayrollIncrementalSpend[2027 Incremental Spend],tblNonPayrollIncrementalSpend[Type of Expense],$H101,tblNonPayrollIncrementalSpend[Group],$H$1)</f>
        <v>0</v>
      </c>
      <c r="K101" s="12">
        <f>SUMIFS(tblNonPayrollIncrementalSpend[2028 Incremental Spend],tblNonPayrollIncrementalSpend[Type of Expense],$H101,tblNonPayrollIncrementalSpend[Group],$H$1)</f>
        <v>0</v>
      </c>
      <c r="L101" s="12">
        <f>SUMIFS(tblNonPayrollIncrementalSpend[2029 Incremental Spend],tblNonPayrollIncrementalSpend[Type of Expense],$H101,tblNonPayrollIncrementalSpend[Group],$H$1)</f>
        <v>0</v>
      </c>
      <c r="N101" s="7" t="s">
        <v>21</v>
      </c>
      <c r="O101" s="12"/>
      <c r="P101" s="12">
        <f>SUMIFS(tblNonPayrollIncrementalSpend[2027 Incremental Spend],tblNonPayrollIncrementalSpend[Type of Expense],$N101,tblNonPayrollIncrementalSpend[Group],$N$1)</f>
        <v>0</v>
      </c>
      <c r="Q101" s="12">
        <f>SUMIFS(tblNonPayrollIncrementalSpend[2028 Incremental Spend],tblNonPayrollIncrementalSpend[Type of Expense],$N101,tblNonPayrollIncrementalSpend[Group],$N$1)</f>
        <v>0</v>
      </c>
      <c r="R101" s="12">
        <f>SUMIFS(tblNonPayrollIncrementalSpend[2029 Incremental Spend],tblNonPayrollIncrementalSpend[Type of Expense],$N101,tblNonPayrollIncrementalSpend[Group],$N$1)</f>
        <v>0</v>
      </c>
      <c r="T101" s="7" t="s">
        <v>21</v>
      </c>
      <c r="U101" s="12"/>
      <c r="V101" s="12">
        <f>SUMIFS(tblNonPayrollIncrementalSpend[2027 Incremental Spend],tblNonPayrollIncrementalSpend[Type of Expense],$T101,tblNonPayrollIncrementalSpend[Group],$T$1)</f>
        <v>0</v>
      </c>
      <c r="W101" s="12">
        <f>SUMIFS(tblNonPayrollIncrementalSpend[2028 Incremental Spend],tblNonPayrollIncrementalSpend[Type of Expense],$T101,tblNonPayrollIncrementalSpend[Group],$T$1)</f>
        <v>0</v>
      </c>
      <c r="X101" s="12">
        <f>SUMIFS(tblNonPayrollIncrementalSpend[2029 Incremental Spend],tblNonPayrollIncrementalSpend[Type of Expense],$T101,tblNonPayrollIncrementalSpend[Group],$T$1)</f>
        <v>0</v>
      </c>
      <c r="Z101" s="7" t="s">
        <v>21</v>
      </c>
      <c r="AA101" s="12"/>
      <c r="AB101" s="12">
        <f>SUMIFS(tblNonPayrollIncrementalSpend[2027 Incremental Spend],tblNonPayrollIncrementalSpend[Type of Expense],$Z101,tblNonPayrollIncrementalSpend[Group],$Z$1)</f>
        <v>0</v>
      </c>
      <c r="AC101" s="12">
        <f>SUMIFS(tblNonPayrollIncrementalSpend[2028 Incremental Spend],tblNonPayrollIncrementalSpend[Type of Expense],$Z101,tblNonPayrollIncrementalSpend[Group],$Z$1)</f>
        <v>0</v>
      </c>
      <c r="AD101" s="12">
        <f>SUMIFS(tblNonPayrollIncrementalSpend[2029 Incremental Spend],tblNonPayrollIncrementalSpend[Type of Expense],$Z101,tblNonPayrollIncrementalSpend[Group],$Z$1)</f>
        <v>0</v>
      </c>
    </row>
    <row r="102" spans="2:30" outlineLevel="1" x14ac:dyDescent="0.35">
      <c r="B102" s="7" t="s">
        <v>22</v>
      </c>
      <c r="C102" s="12"/>
      <c r="D102" s="12">
        <f>SUMIF(tblNonPayrollIncrementalSpend[Type of Expense],$B102,tblNonPayrollIncrementalSpend[2027 Incremental Spend])</f>
        <v>0</v>
      </c>
      <c r="E102" s="12">
        <f>SUMIF(tblNonPayrollIncrementalSpend[Type of Expense],$B102,tblNonPayrollIncrementalSpend[2028 Incremental Spend])</f>
        <v>0</v>
      </c>
      <c r="F102" s="12">
        <f>SUMIF(tblNonPayrollIncrementalSpend[Type of Expense],$B102,tblNonPayrollIncrementalSpend[2029 Incremental Spend])</f>
        <v>0</v>
      </c>
      <c r="H102" s="7" t="s">
        <v>22</v>
      </c>
      <c r="I102" s="12"/>
      <c r="J102" s="12">
        <f>SUMIFS(tblNonPayrollIncrementalSpend[2027 Incremental Spend],tblNonPayrollIncrementalSpend[Type of Expense],$H102,tblNonPayrollIncrementalSpend[Group],$H$1)</f>
        <v>0</v>
      </c>
      <c r="K102" s="12">
        <f>SUMIFS(tblNonPayrollIncrementalSpend[2028 Incremental Spend],tblNonPayrollIncrementalSpend[Type of Expense],$H102,tblNonPayrollIncrementalSpend[Group],$H$1)</f>
        <v>0</v>
      </c>
      <c r="L102" s="12">
        <f>SUMIFS(tblNonPayrollIncrementalSpend[2029 Incremental Spend],tblNonPayrollIncrementalSpend[Type of Expense],$H102,tblNonPayrollIncrementalSpend[Group],$H$1)</f>
        <v>0</v>
      </c>
      <c r="N102" s="7" t="s">
        <v>22</v>
      </c>
      <c r="O102" s="12"/>
      <c r="P102" s="12">
        <f>SUMIFS(tblNonPayrollIncrementalSpend[2027 Incremental Spend],tblNonPayrollIncrementalSpend[Type of Expense],$N102,tblNonPayrollIncrementalSpend[Group],$N$1)</f>
        <v>0</v>
      </c>
      <c r="Q102" s="12">
        <f>SUMIFS(tblNonPayrollIncrementalSpend[2028 Incremental Spend],tblNonPayrollIncrementalSpend[Type of Expense],$N102,tblNonPayrollIncrementalSpend[Group],$N$1)</f>
        <v>0</v>
      </c>
      <c r="R102" s="12">
        <f>SUMIFS(tblNonPayrollIncrementalSpend[2029 Incremental Spend],tblNonPayrollIncrementalSpend[Type of Expense],$N102,tblNonPayrollIncrementalSpend[Group],$N$1)</f>
        <v>0</v>
      </c>
      <c r="T102" s="7" t="s">
        <v>22</v>
      </c>
      <c r="U102" s="12"/>
      <c r="V102" s="12">
        <f>SUMIFS(tblNonPayrollIncrementalSpend[2027 Incremental Spend],tblNonPayrollIncrementalSpend[Type of Expense],$T102,tblNonPayrollIncrementalSpend[Group],$T$1)</f>
        <v>0</v>
      </c>
      <c r="W102" s="12">
        <f>SUMIFS(tblNonPayrollIncrementalSpend[2028 Incremental Spend],tblNonPayrollIncrementalSpend[Type of Expense],$T102,tblNonPayrollIncrementalSpend[Group],$T$1)</f>
        <v>0</v>
      </c>
      <c r="X102" s="12">
        <f>SUMIFS(tblNonPayrollIncrementalSpend[2029 Incremental Spend],tblNonPayrollIncrementalSpend[Type of Expense],$T102,tblNonPayrollIncrementalSpend[Group],$T$1)</f>
        <v>0</v>
      </c>
      <c r="Z102" s="7" t="s">
        <v>22</v>
      </c>
      <c r="AA102" s="12"/>
      <c r="AB102" s="12">
        <f>SUMIFS(tblNonPayrollIncrementalSpend[2027 Incremental Spend],tblNonPayrollIncrementalSpend[Type of Expense],$Z102,tblNonPayrollIncrementalSpend[Group],$Z$1)</f>
        <v>0</v>
      </c>
      <c r="AC102" s="12">
        <f>SUMIFS(tblNonPayrollIncrementalSpend[2028 Incremental Spend],tblNonPayrollIncrementalSpend[Type of Expense],$Z102,tblNonPayrollIncrementalSpend[Group],$Z$1)</f>
        <v>0</v>
      </c>
      <c r="AD102" s="12">
        <f>SUMIFS(tblNonPayrollIncrementalSpend[2029 Incremental Spend],tblNonPayrollIncrementalSpend[Type of Expense],$Z102,tblNonPayrollIncrementalSpend[Group],$Z$1)</f>
        <v>0</v>
      </c>
    </row>
    <row r="103" spans="2:30" outlineLevel="1" x14ac:dyDescent="0.35">
      <c r="B103" s="7" t="s">
        <v>23</v>
      </c>
      <c r="C103" s="12"/>
      <c r="D103" s="12">
        <f>SUMIF(tblNonPayrollIncrementalSpend[Type of Expense],$B103,tblNonPayrollIncrementalSpend[2027 Incremental Spend])</f>
        <v>0</v>
      </c>
      <c r="E103" s="12">
        <f>SUMIF(tblNonPayrollIncrementalSpend[Type of Expense],$B103,tblNonPayrollIncrementalSpend[2028 Incremental Spend])</f>
        <v>0</v>
      </c>
      <c r="F103" s="12">
        <f>SUMIF(tblNonPayrollIncrementalSpend[Type of Expense],$B103,tblNonPayrollIncrementalSpend[2029 Incremental Spend])</f>
        <v>0</v>
      </c>
      <c r="H103" s="7" t="s">
        <v>23</v>
      </c>
      <c r="I103" s="12"/>
      <c r="J103" s="12">
        <f>SUMIFS(tblNonPayrollIncrementalSpend[2027 Incremental Spend],tblNonPayrollIncrementalSpend[Type of Expense],$H103,tblNonPayrollIncrementalSpend[Group],$H$1)</f>
        <v>0</v>
      </c>
      <c r="K103" s="12">
        <f>SUMIFS(tblNonPayrollIncrementalSpend[2028 Incremental Spend],tblNonPayrollIncrementalSpend[Type of Expense],$H103,tblNonPayrollIncrementalSpend[Group],$H$1)</f>
        <v>0</v>
      </c>
      <c r="L103" s="12">
        <f>SUMIFS(tblNonPayrollIncrementalSpend[2029 Incremental Spend],tblNonPayrollIncrementalSpend[Type of Expense],$H103,tblNonPayrollIncrementalSpend[Group],$H$1)</f>
        <v>0</v>
      </c>
      <c r="N103" s="7" t="s">
        <v>23</v>
      </c>
      <c r="O103" s="12"/>
      <c r="P103" s="12">
        <f>SUMIFS(tblNonPayrollIncrementalSpend[2027 Incremental Spend],tblNonPayrollIncrementalSpend[Type of Expense],$N103,tblNonPayrollIncrementalSpend[Group],$N$1)</f>
        <v>0</v>
      </c>
      <c r="Q103" s="12">
        <f>SUMIFS(tblNonPayrollIncrementalSpend[2028 Incremental Spend],tblNonPayrollIncrementalSpend[Type of Expense],$N103,tblNonPayrollIncrementalSpend[Group],$N$1)</f>
        <v>0</v>
      </c>
      <c r="R103" s="12">
        <f>SUMIFS(tblNonPayrollIncrementalSpend[2029 Incremental Spend],tblNonPayrollIncrementalSpend[Type of Expense],$N103,tblNonPayrollIncrementalSpend[Group],$N$1)</f>
        <v>0</v>
      </c>
      <c r="T103" s="7" t="s">
        <v>23</v>
      </c>
      <c r="U103" s="12"/>
      <c r="V103" s="12">
        <f>SUMIFS(tblNonPayrollIncrementalSpend[2027 Incremental Spend],tblNonPayrollIncrementalSpend[Type of Expense],$T103,tblNonPayrollIncrementalSpend[Group],$T$1)</f>
        <v>0</v>
      </c>
      <c r="W103" s="12">
        <f>SUMIFS(tblNonPayrollIncrementalSpend[2028 Incremental Spend],tblNonPayrollIncrementalSpend[Type of Expense],$T103,tblNonPayrollIncrementalSpend[Group],$T$1)</f>
        <v>0</v>
      </c>
      <c r="X103" s="12">
        <f>SUMIFS(tblNonPayrollIncrementalSpend[2029 Incremental Spend],tblNonPayrollIncrementalSpend[Type of Expense],$T103,tblNonPayrollIncrementalSpend[Group],$T$1)</f>
        <v>0</v>
      </c>
      <c r="Z103" s="7" t="s">
        <v>23</v>
      </c>
      <c r="AA103" s="12"/>
      <c r="AB103" s="12">
        <f>SUMIFS(tblNonPayrollIncrementalSpend[2027 Incremental Spend],tblNonPayrollIncrementalSpend[Type of Expense],$Z103,tblNonPayrollIncrementalSpend[Group],$Z$1)</f>
        <v>0</v>
      </c>
      <c r="AC103" s="12">
        <f>SUMIFS(tblNonPayrollIncrementalSpend[2028 Incremental Spend],tblNonPayrollIncrementalSpend[Type of Expense],$Z103,tblNonPayrollIncrementalSpend[Group],$Z$1)</f>
        <v>0</v>
      </c>
      <c r="AD103" s="12">
        <f>SUMIFS(tblNonPayrollIncrementalSpend[2029 Incremental Spend],tblNonPayrollIncrementalSpend[Type of Expense],$Z103,tblNonPayrollIncrementalSpend[Group],$Z$1)</f>
        <v>0</v>
      </c>
    </row>
    <row r="104" spans="2:30" outlineLevel="1" x14ac:dyDescent="0.35">
      <c r="B104" s="7" t="s">
        <v>24</v>
      </c>
      <c r="C104" s="12"/>
      <c r="D104" s="12">
        <f>SUMIF(tblNonPayrollIncrementalSpend[Type of Expense],$B104,tblNonPayrollIncrementalSpend[2027 Incremental Spend])</f>
        <v>0</v>
      </c>
      <c r="E104" s="12">
        <f>SUMIF(tblNonPayrollIncrementalSpend[Type of Expense],$B104,tblNonPayrollIncrementalSpend[2028 Incremental Spend])</f>
        <v>0</v>
      </c>
      <c r="F104" s="12">
        <f>SUMIF(tblNonPayrollIncrementalSpend[Type of Expense],$B104,tblNonPayrollIncrementalSpend[2029 Incremental Spend])</f>
        <v>0</v>
      </c>
      <c r="H104" s="7" t="s">
        <v>24</v>
      </c>
      <c r="I104" s="12"/>
      <c r="J104" s="12">
        <f>SUMIFS(tblNonPayrollIncrementalSpend[2027 Incremental Spend],tblNonPayrollIncrementalSpend[Type of Expense],$H104,tblNonPayrollIncrementalSpend[Group],$H$1)</f>
        <v>0</v>
      </c>
      <c r="K104" s="12">
        <f>SUMIFS(tblNonPayrollIncrementalSpend[2028 Incremental Spend],tblNonPayrollIncrementalSpend[Type of Expense],$H104,tblNonPayrollIncrementalSpend[Group],$H$1)</f>
        <v>0</v>
      </c>
      <c r="L104" s="12">
        <f>SUMIFS(tblNonPayrollIncrementalSpend[2029 Incremental Spend],tblNonPayrollIncrementalSpend[Type of Expense],$H104,tblNonPayrollIncrementalSpend[Group],$H$1)</f>
        <v>0</v>
      </c>
      <c r="N104" s="7" t="s">
        <v>24</v>
      </c>
      <c r="O104" s="12"/>
      <c r="P104" s="12">
        <f>SUMIFS(tblNonPayrollIncrementalSpend[2027 Incremental Spend],tblNonPayrollIncrementalSpend[Type of Expense],$N104,tblNonPayrollIncrementalSpend[Group],$N$1)</f>
        <v>0</v>
      </c>
      <c r="Q104" s="12">
        <f>SUMIFS(tblNonPayrollIncrementalSpend[2028 Incremental Spend],tblNonPayrollIncrementalSpend[Type of Expense],$N104,tblNonPayrollIncrementalSpend[Group],$N$1)</f>
        <v>0</v>
      </c>
      <c r="R104" s="12">
        <f>SUMIFS(tblNonPayrollIncrementalSpend[2029 Incremental Spend],tblNonPayrollIncrementalSpend[Type of Expense],$N104,tblNonPayrollIncrementalSpend[Group],$N$1)</f>
        <v>0</v>
      </c>
      <c r="T104" s="7" t="s">
        <v>24</v>
      </c>
      <c r="U104" s="12"/>
      <c r="V104" s="12">
        <f>SUMIFS(tblNonPayrollIncrementalSpend[2027 Incremental Spend],tblNonPayrollIncrementalSpend[Type of Expense],$T104,tblNonPayrollIncrementalSpend[Group],$T$1)</f>
        <v>0</v>
      </c>
      <c r="W104" s="12">
        <f>SUMIFS(tblNonPayrollIncrementalSpend[2028 Incremental Spend],tblNonPayrollIncrementalSpend[Type of Expense],$T104,tblNonPayrollIncrementalSpend[Group],$T$1)</f>
        <v>0</v>
      </c>
      <c r="X104" s="12">
        <f>SUMIFS(tblNonPayrollIncrementalSpend[2029 Incremental Spend],tblNonPayrollIncrementalSpend[Type of Expense],$T104,tblNonPayrollIncrementalSpend[Group],$T$1)</f>
        <v>0</v>
      </c>
      <c r="Z104" s="7" t="s">
        <v>24</v>
      </c>
      <c r="AA104" s="12"/>
      <c r="AB104" s="12">
        <f>SUMIFS(tblNonPayrollIncrementalSpend[2027 Incremental Spend],tblNonPayrollIncrementalSpend[Type of Expense],$Z104,tblNonPayrollIncrementalSpend[Group],$Z$1)</f>
        <v>0</v>
      </c>
      <c r="AC104" s="12">
        <f>SUMIFS(tblNonPayrollIncrementalSpend[2028 Incremental Spend],tblNonPayrollIncrementalSpend[Type of Expense],$Z104,tblNonPayrollIncrementalSpend[Group],$Z$1)</f>
        <v>0</v>
      </c>
      <c r="AD104" s="12">
        <f>SUMIFS(tblNonPayrollIncrementalSpend[2029 Incremental Spend],tblNonPayrollIncrementalSpend[Type of Expense],$Z104,tblNonPayrollIncrementalSpend[Group],$Z$1)</f>
        <v>0</v>
      </c>
    </row>
    <row r="105" spans="2:30" outlineLevel="1" x14ac:dyDescent="0.35">
      <c r="B105" s="7" t="s">
        <v>25</v>
      </c>
      <c r="C105" s="12"/>
      <c r="D105" s="12">
        <f>SUMIF(tblNonPayrollIncrementalSpend[Type of Expense],$B105,tblNonPayrollIncrementalSpend[2027 Incremental Spend])</f>
        <v>0</v>
      </c>
      <c r="E105" s="12">
        <f>SUMIF(tblNonPayrollIncrementalSpend[Type of Expense],$B105,tblNonPayrollIncrementalSpend[2028 Incremental Spend])</f>
        <v>0</v>
      </c>
      <c r="F105" s="12">
        <f>SUMIF(tblNonPayrollIncrementalSpend[Type of Expense],$B105,tblNonPayrollIncrementalSpend[2029 Incremental Spend])</f>
        <v>0</v>
      </c>
      <c r="H105" s="7" t="s">
        <v>25</v>
      </c>
      <c r="I105" s="12"/>
      <c r="J105" s="12">
        <f>SUMIFS(tblNonPayrollIncrementalSpend[2027 Incremental Spend],tblNonPayrollIncrementalSpend[Type of Expense],$H105,tblNonPayrollIncrementalSpend[Group],$H$1)</f>
        <v>0</v>
      </c>
      <c r="K105" s="12">
        <f>SUMIFS(tblNonPayrollIncrementalSpend[2028 Incremental Spend],tblNonPayrollIncrementalSpend[Type of Expense],$H105,tblNonPayrollIncrementalSpend[Group],$H$1)</f>
        <v>0</v>
      </c>
      <c r="L105" s="12">
        <f>SUMIFS(tblNonPayrollIncrementalSpend[2029 Incremental Spend],tblNonPayrollIncrementalSpend[Type of Expense],$H105,tblNonPayrollIncrementalSpend[Group],$H$1)</f>
        <v>0</v>
      </c>
      <c r="N105" s="7" t="s">
        <v>25</v>
      </c>
      <c r="O105" s="12"/>
      <c r="P105" s="12">
        <f>SUMIFS(tblNonPayrollIncrementalSpend[2027 Incremental Spend],tblNonPayrollIncrementalSpend[Type of Expense],$N105,tblNonPayrollIncrementalSpend[Group],$N$1)</f>
        <v>0</v>
      </c>
      <c r="Q105" s="12">
        <f>SUMIFS(tblNonPayrollIncrementalSpend[2028 Incremental Spend],tblNonPayrollIncrementalSpend[Type of Expense],$N105,tblNonPayrollIncrementalSpend[Group],$N$1)</f>
        <v>0</v>
      </c>
      <c r="R105" s="12">
        <f>SUMIFS(tblNonPayrollIncrementalSpend[2029 Incremental Spend],tblNonPayrollIncrementalSpend[Type of Expense],$N105,tblNonPayrollIncrementalSpend[Group],$N$1)</f>
        <v>0</v>
      </c>
      <c r="T105" s="7" t="s">
        <v>25</v>
      </c>
      <c r="U105" s="12"/>
      <c r="V105" s="12">
        <f>SUMIFS(tblNonPayrollIncrementalSpend[2027 Incremental Spend],tblNonPayrollIncrementalSpend[Type of Expense],$T105,tblNonPayrollIncrementalSpend[Group],$T$1)</f>
        <v>0</v>
      </c>
      <c r="W105" s="12">
        <f>SUMIFS(tblNonPayrollIncrementalSpend[2028 Incremental Spend],tblNonPayrollIncrementalSpend[Type of Expense],$T105,tblNonPayrollIncrementalSpend[Group],$T$1)</f>
        <v>0</v>
      </c>
      <c r="X105" s="12">
        <f>SUMIFS(tblNonPayrollIncrementalSpend[2029 Incremental Spend],tblNonPayrollIncrementalSpend[Type of Expense],$T105,tblNonPayrollIncrementalSpend[Group],$T$1)</f>
        <v>0</v>
      </c>
      <c r="Z105" s="7" t="s">
        <v>25</v>
      </c>
      <c r="AA105" s="12"/>
      <c r="AB105" s="12">
        <f>SUMIFS(tblNonPayrollIncrementalSpend[2027 Incremental Spend],tblNonPayrollIncrementalSpend[Type of Expense],$Z105,tblNonPayrollIncrementalSpend[Group],$Z$1)</f>
        <v>0</v>
      </c>
      <c r="AC105" s="12">
        <f>SUMIFS(tblNonPayrollIncrementalSpend[2028 Incremental Spend],tblNonPayrollIncrementalSpend[Type of Expense],$Z105,tblNonPayrollIncrementalSpend[Group],$Z$1)</f>
        <v>0</v>
      </c>
      <c r="AD105" s="12">
        <f>SUMIFS(tblNonPayrollIncrementalSpend[2029 Incremental Spend],tblNonPayrollIncrementalSpend[Type of Expense],$Z105,tblNonPayrollIncrementalSpend[Group],$Z$1)</f>
        <v>0</v>
      </c>
    </row>
    <row r="106" spans="2:30" outlineLevel="1" x14ac:dyDescent="0.35">
      <c r="B106" s="7" t="s">
        <v>26</v>
      </c>
      <c r="C106" s="12"/>
      <c r="D106" s="12">
        <f>SUMIF(tblNonPayrollIncrementalSpend[Type of Expense],$B106,tblNonPayrollIncrementalSpend[2027 Incremental Spend])</f>
        <v>0</v>
      </c>
      <c r="E106" s="12">
        <f>SUMIF(tblNonPayrollIncrementalSpend[Type of Expense],$B106,tblNonPayrollIncrementalSpend[2028 Incremental Spend])</f>
        <v>0</v>
      </c>
      <c r="F106" s="12">
        <f>SUMIF(tblNonPayrollIncrementalSpend[Type of Expense],$B106,tblNonPayrollIncrementalSpend[2029 Incremental Spend])</f>
        <v>0</v>
      </c>
      <c r="H106" s="7" t="s">
        <v>26</v>
      </c>
      <c r="I106" s="12"/>
      <c r="J106" s="12">
        <f>SUMIFS(tblNonPayrollIncrementalSpend[2027 Incremental Spend],tblNonPayrollIncrementalSpend[Type of Expense],$H106,tblNonPayrollIncrementalSpend[Group],$H$1)</f>
        <v>0</v>
      </c>
      <c r="K106" s="12">
        <f>SUMIFS(tblNonPayrollIncrementalSpend[2028 Incremental Spend],tblNonPayrollIncrementalSpend[Type of Expense],$H106,tblNonPayrollIncrementalSpend[Group],$H$1)</f>
        <v>0</v>
      </c>
      <c r="L106" s="12">
        <f>SUMIFS(tblNonPayrollIncrementalSpend[2029 Incremental Spend],tblNonPayrollIncrementalSpend[Type of Expense],$H106,tblNonPayrollIncrementalSpend[Group],$H$1)</f>
        <v>0</v>
      </c>
      <c r="N106" s="7" t="s">
        <v>26</v>
      </c>
      <c r="O106" s="12"/>
      <c r="P106" s="12">
        <f>SUMIFS(tblNonPayrollIncrementalSpend[2027 Incremental Spend],tblNonPayrollIncrementalSpend[Type of Expense],$N106,tblNonPayrollIncrementalSpend[Group],$N$1)</f>
        <v>0</v>
      </c>
      <c r="Q106" s="12">
        <f>SUMIFS(tblNonPayrollIncrementalSpend[2028 Incremental Spend],tblNonPayrollIncrementalSpend[Type of Expense],$N106,tblNonPayrollIncrementalSpend[Group],$N$1)</f>
        <v>0</v>
      </c>
      <c r="R106" s="12">
        <f>SUMIFS(tblNonPayrollIncrementalSpend[2029 Incremental Spend],tblNonPayrollIncrementalSpend[Type of Expense],$N106,tblNonPayrollIncrementalSpend[Group],$N$1)</f>
        <v>0</v>
      </c>
      <c r="T106" s="7" t="s">
        <v>26</v>
      </c>
      <c r="U106" s="12"/>
      <c r="V106" s="12">
        <f>SUMIFS(tblNonPayrollIncrementalSpend[2027 Incremental Spend],tblNonPayrollIncrementalSpend[Type of Expense],$T106,tblNonPayrollIncrementalSpend[Group],$T$1)</f>
        <v>0</v>
      </c>
      <c r="W106" s="12">
        <f>SUMIFS(tblNonPayrollIncrementalSpend[2028 Incremental Spend],tblNonPayrollIncrementalSpend[Type of Expense],$T106,tblNonPayrollIncrementalSpend[Group],$T$1)</f>
        <v>0</v>
      </c>
      <c r="X106" s="12">
        <f>SUMIFS(tblNonPayrollIncrementalSpend[2029 Incremental Spend],tblNonPayrollIncrementalSpend[Type of Expense],$T106,tblNonPayrollIncrementalSpend[Group],$T$1)</f>
        <v>0</v>
      </c>
      <c r="Z106" s="7" t="s">
        <v>26</v>
      </c>
      <c r="AA106" s="12"/>
      <c r="AB106" s="12">
        <f>SUMIFS(tblNonPayrollIncrementalSpend[2027 Incremental Spend],tblNonPayrollIncrementalSpend[Type of Expense],$Z106,tblNonPayrollIncrementalSpend[Group],$Z$1)</f>
        <v>0</v>
      </c>
      <c r="AC106" s="12">
        <f>SUMIFS(tblNonPayrollIncrementalSpend[2028 Incremental Spend],tblNonPayrollIncrementalSpend[Type of Expense],$Z106,tblNonPayrollIncrementalSpend[Group],$Z$1)</f>
        <v>0</v>
      </c>
      <c r="AD106" s="12">
        <f>SUMIFS(tblNonPayrollIncrementalSpend[2029 Incremental Spend],tblNonPayrollIncrementalSpend[Type of Expense],$Z106,tblNonPayrollIncrementalSpend[Group],$Z$1)</f>
        <v>0</v>
      </c>
    </row>
    <row r="107" spans="2:30" outlineLevel="1" x14ac:dyDescent="0.35">
      <c r="B107" s="7" t="s">
        <v>27</v>
      </c>
      <c r="C107" s="12"/>
      <c r="D107" s="12">
        <f>SUMIF(tblNonPayrollIncrementalSpend[Type of Expense],$B107,tblNonPayrollIncrementalSpend[2027 Incremental Spend])</f>
        <v>0</v>
      </c>
      <c r="E107" s="12">
        <f>SUMIF(tblNonPayrollIncrementalSpend[Type of Expense],$B107,tblNonPayrollIncrementalSpend[2028 Incremental Spend])</f>
        <v>0</v>
      </c>
      <c r="F107" s="12">
        <f>SUMIF(tblNonPayrollIncrementalSpend[Type of Expense],$B107,tblNonPayrollIncrementalSpend[2029 Incremental Spend])</f>
        <v>0</v>
      </c>
      <c r="H107" s="7" t="s">
        <v>27</v>
      </c>
      <c r="I107" s="12"/>
      <c r="J107" s="12">
        <f>SUMIFS(tblNonPayrollIncrementalSpend[2027 Incremental Spend],tblNonPayrollIncrementalSpend[Type of Expense],$H107,tblNonPayrollIncrementalSpend[Group],$H$1)</f>
        <v>0</v>
      </c>
      <c r="K107" s="12">
        <f>SUMIFS(tblNonPayrollIncrementalSpend[2028 Incremental Spend],tblNonPayrollIncrementalSpend[Type of Expense],$H107,tblNonPayrollIncrementalSpend[Group],$H$1)</f>
        <v>0</v>
      </c>
      <c r="L107" s="12">
        <f>SUMIFS(tblNonPayrollIncrementalSpend[2029 Incremental Spend],tblNonPayrollIncrementalSpend[Type of Expense],$H107,tblNonPayrollIncrementalSpend[Group],$H$1)</f>
        <v>0</v>
      </c>
      <c r="N107" s="7" t="s">
        <v>27</v>
      </c>
      <c r="O107" s="12"/>
      <c r="P107" s="12">
        <f>SUMIFS(tblNonPayrollIncrementalSpend[2027 Incremental Spend],tblNonPayrollIncrementalSpend[Type of Expense],$N107,tblNonPayrollIncrementalSpend[Group],$N$1)</f>
        <v>0</v>
      </c>
      <c r="Q107" s="12">
        <f>SUMIFS(tblNonPayrollIncrementalSpend[2028 Incremental Spend],tblNonPayrollIncrementalSpend[Type of Expense],$N107,tblNonPayrollIncrementalSpend[Group],$N$1)</f>
        <v>0</v>
      </c>
      <c r="R107" s="12">
        <f>SUMIFS(tblNonPayrollIncrementalSpend[2029 Incremental Spend],tblNonPayrollIncrementalSpend[Type of Expense],$N107,tblNonPayrollIncrementalSpend[Group],$N$1)</f>
        <v>0</v>
      </c>
      <c r="T107" s="7" t="s">
        <v>27</v>
      </c>
      <c r="U107" s="12"/>
      <c r="V107" s="12">
        <f>SUMIFS(tblNonPayrollIncrementalSpend[2027 Incremental Spend],tblNonPayrollIncrementalSpend[Type of Expense],$T107,tblNonPayrollIncrementalSpend[Group],$T$1)</f>
        <v>0</v>
      </c>
      <c r="W107" s="12">
        <f>SUMIFS(tblNonPayrollIncrementalSpend[2028 Incremental Spend],tblNonPayrollIncrementalSpend[Type of Expense],$T107,tblNonPayrollIncrementalSpend[Group],$T$1)</f>
        <v>0</v>
      </c>
      <c r="X107" s="12">
        <f>SUMIFS(tblNonPayrollIncrementalSpend[2029 Incremental Spend],tblNonPayrollIncrementalSpend[Type of Expense],$T107,tblNonPayrollIncrementalSpend[Group],$T$1)</f>
        <v>0</v>
      </c>
      <c r="Z107" s="7" t="s">
        <v>27</v>
      </c>
      <c r="AA107" s="12"/>
      <c r="AB107" s="12">
        <f>SUMIFS(tblNonPayrollIncrementalSpend[2027 Incremental Spend],tblNonPayrollIncrementalSpend[Type of Expense],$Z107,tblNonPayrollIncrementalSpend[Group],$Z$1)</f>
        <v>0</v>
      </c>
      <c r="AC107" s="12">
        <f>SUMIFS(tblNonPayrollIncrementalSpend[2028 Incremental Spend],tblNonPayrollIncrementalSpend[Type of Expense],$Z107,tblNonPayrollIncrementalSpend[Group],$Z$1)</f>
        <v>0</v>
      </c>
      <c r="AD107" s="12">
        <f>SUMIFS(tblNonPayrollIncrementalSpend[2029 Incremental Spend],tblNonPayrollIncrementalSpend[Type of Expense],$Z107,tblNonPayrollIncrementalSpend[Group],$Z$1)</f>
        <v>0</v>
      </c>
    </row>
    <row r="108" spans="2:30" outlineLevel="1" x14ac:dyDescent="0.35">
      <c r="B108" s="7" t="s">
        <v>28</v>
      </c>
      <c r="C108" s="12"/>
      <c r="D108" s="12">
        <f>SUMIF(tblNonPayrollIncrementalSpend[Type of Expense],$B108,tblNonPayrollIncrementalSpend[2027 Incremental Spend])</f>
        <v>0</v>
      </c>
      <c r="E108" s="12">
        <f>SUMIF(tblNonPayrollIncrementalSpend[Type of Expense],$B108,tblNonPayrollIncrementalSpend[2028 Incremental Spend])</f>
        <v>0</v>
      </c>
      <c r="F108" s="12">
        <f>SUMIF(tblNonPayrollIncrementalSpend[Type of Expense],$B108,tblNonPayrollIncrementalSpend[2029 Incremental Spend])</f>
        <v>0</v>
      </c>
      <c r="H108" s="7" t="s">
        <v>28</v>
      </c>
      <c r="I108" s="12"/>
      <c r="J108" s="12">
        <f>SUMIFS(tblNonPayrollIncrementalSpend[2027 Incremental Spend],tblNonPayrollIncrementalSpend[Type of Expense],$H108,tblNonPayrollIncrementalSpend[Group],$H$1)</f>
        <v>0</v>
      </c>
      <c r="K108" s="12">
        <f>SUMIFS(tblNonPayrollIncrementalSpend[2028 Incremental Spend],tblNonPayrollIncrementalSpend[Type of Expense],$H108,tblNonPayrollIncrementalSpend[Group],$H$1)</f>
        <v>0</v>
      </c>
      <c r="L108" s="12">
        <f>SUMIFS(tblNonPayrollIncrementalSpend[2029 Incremental Spend],tblNonPayrollIncrementalSpend[Type of Expense],$H108,tblNonPayrollIncrementalSpend[Group],$H$1)</f>
        <v>0</v>
      </c>
      <c r="N108" s="7" t="s">
        <v>28</v>
      </c>
      <c r="O108" s="12"/>
      <c r="P108" s="12">
        <f>SUMIFS(tblNonPayrollIncrementalSpend[2027 Incremental Spend],tblNonPayrollIncrementalSpend[Type of Expense],$N108,tblNonPayrollIncrementalSpend[Group],$N$1)</f>
        <v>0</v>
      </c>
      <c r="Q108" s="12">
        <f>SUMIFS(tblNonPayrollIncrementalSpend[2028 Incremental Spend],tblNonPayrollIncrementalSpend[Type of Expense],$N108,tblNonPayrollIncrementalSpend[Group],$N$1)</f>
        <v>0</v>
      </c>
      <c r="R108" s="12">
        <f>SUMIFS(tblNonPayrollIncrementalSpend[2029 Incremental Spend],tblNonPayrollIncrementalSpend[Type of Expense],$N108,tblNonPayrollIncrementalSpend[Group],$N$1)</f>
        <v>0</v>
      </c>
      <c r="T108" s="7" t="s">
        <v>28</v>
      </c>
      <c r="U108" s="12"/>
      <c r="V108" s="12">
        <f>SUMIFS(tblNonPayrollIncrementalSpend[2027 Incremental Spend],tblNonPayrollIncrementalSpend[Type of Expense],$T108,tblNonPayrollIncrementalSpend[Group],$T$1)</f>
        <v>0</v>
      </c>
      <c r="W108" s="12">
        <f>SUMIFS(tblNonPayrollIncrementalSpend[2028 Incremental Spend],tblNonPayrollIncrementalSpend[Type of Expense],$T108,tblNonPayrollIncrementalSpend[Group],$T$1)</f>
        <v>0</v>
      </c>
      <c r="X108" s="12">
        <f>SUMIFS(tblNonPayrollIncrementalSpend[2029 Incremental Spend],tblNonPayrollIncrementalSpend[Type of Expense],$T108,tblNonPayrollIncrementalSpend[Group],$T$1)</f>
        <v>0</v>
      </c>
      <c r="Z108" s="7" t="s">
        <v>28</v>
      </c>
      <c r="AA108" s="12"/>
      <c r="AB108" s="12">
        <f>SUMIFS(tblNonPayrollIncrementalSpend[2027 Incremental Spend],tblNonPayrollIncrementalSpend[Type of Expense],$Z108,tblNonPayrollIncrementalSpend[Group],$Z$1)</f>
        <v>0</v>
      </c>
      <c r="AC108" s="12">
        <f>SUMIFS(tblNonPayrollIncrementalSpend[2028 Incremental Spend],tblNonPayrollIncrementalSpend[Type of Expense],$Z108,tblNonPayrollIncrementalSpend[Group],$Z$1)</f>
        <v>0</v>
      </c>
      <c r="AD108" s="12">
        <f>SUMIFS(tblNonPayrollIncrementalSpend[2029 Incremental Spend],tblNonPayrollIncrementalSpend[Type of Expense],$Z108,tblNonPayrollIncrementalSpend[Group],$Z$1)</f>
        <v>0</v>
      </c>
    </row>
    <row r="109" spans="2:30" outlineLevel="1" x14ac:dyDescent="0.35">
      <c r="B109" s="7" t="s">
        <v>8</v>
      </c>
      <c r="C109" s="12"/>
      <c r="D109" s="12">
        <f>SUMIF(tblNonPayrollIncrementalSpend[Type of Expense],$B109,tblNonPayrollIncrementalSpend[2027 Incremental Spend])</f>
        <v>0</v>
      </c>
      <c r="E109" s="12">
        <f>SUMIF(tblNonPayrollIncrementalSpend[Type of Expense],$B109,tblNonPayrollIncrementalSpend[2028 Incremental Spend])</f>
        <v>0</v>
      </c>
      <c r="F109" s="12">
        <f>SUMIF(tblNonPayrollIncrementalSpend[Type of Expense],$B109,tblNonPayrollIncrementalSpend[2029 Incremental Spend])</f>
        <v>0</v>
      </c>
      <c r="H109" s="7" t="s">
        <v>8</v>
      </c>
      <c r="I109" s="12"/>
      <c r="J109" s="12">
        <f>SUMIFS(tblNonPayrollIncrementalSpend[2027 Incremental Spend],tblNonPayrollIncrementalSpend[Type of Expense],$H109,tblNonPayrollIncrementalSpend[Group],$H$1)</f>
        <v>0</v>
      </c>
      <c r="K109" s="12">
        <f>SUMIFS(tblNonPayrollIncrementalSpend[2028 Incremental Spend],tblNonPayrollIncrementalSpend[Type of Expense],$H109,tblNonPayrollIncrementalSpend[Group],$H$1)</f>
        <v>0</v>
      </c>
      <c r="L109" s="12">
        <f>SUMIFS(tblNonPayrollIncrementalSpend[2029 Incremental Spend],tblNonPayrollIncrementalSpend[Type of Expense],$H109,tblNonPayrollIncrementalSpend[Group],$H$1)</f>
        <v>0</v>
      </c>
      <c r="N109" s="7" t="s">
        <v>8</v>
      </c>
      <c r="O109" s="12"/>
      <c r="P109" s="12">
        <f>SUMIFS(tblNonPayrollIncrementalSpend[2027 Incremental Spend],tblNonPayrollIncrementalSpend[Type of Expense],$N109,tblNonPayrollIncrementalSpend[Group],$N$1)</f>
        <v>0</v>
      </c>
      <c r="Q109" s="12">
        <f>SUMIFS(tblNonPayrollIncrementalSpend[2028 Incremental Spend],tblNonPayrollIncrementalSpend[Type of Expense],$N109,tblNonPayrollIncrementalSpend[Group],$N$1)</f>
        <v>0</v>
      </c>
      <c r="R109" s="12">
        <f>SUMIFS(tblNonPayrollIncrementalSpend[2029 Incremental Spend],tblNonPayrollIncrementalSpend[Type of Expense],$N109,tblNonPayrollIncrementalSpend[Group],$N$1)</f>
        <v>0</v>
      </c>
      <c r="T109" s="7" t="s">
        <v>8</v>
      </c>
      <c r="U109" s="12"/>
      <c r="V109" s="12">
        <f>SUMIFS(tblNonPayrollIncrementalSpend[2027 Incremental Spend],tblNonPayrollIncrementalSpend[Type of Expense],$T109,tblNonPayrollIncrementalSpend[Group],$T$1)</f>
        <v>0</v>
      </c>
      <c r="W109" s="12">
        <f>SUMIFS(tblNonPayrollIncrementalSpend[2028 Incremental Spend],tblNonPayrollIncrementalSpend[Type of Expense],$T109,tblNonPayrollIncrementalSpend[Group],$T$1)</f>
        <v>0</v>
      </c>
      <c r="X109" s="12">
        <f>SUMIFS(tblNonPayrollIncrementalSpend[2029 Incremental Spend],tblNonPayrollIncrementalSpend[Type of Expense],$T109,tblNonPayrollIncrementalSpend[Group],$T$1)</f>
        <v>0</v>
      </c>
      <c r="Z109" s="7" t="s">
        <v>8</v>
      </c>
      <c r="AA109" s="12"/>
      <c r="AB109" s="12">
        <f>SUMIFS(tblNonPayrollIncrementalSpend[2027 Incremental Spend],tblNonPayrollIncrementalSpend[Type of Expense],$Z109,tblNonPayrollIncrementalSpend[Group],$Z$1)</f>
        <v>0</v>
      </c>
      <c r="AC109" s="12">
        <f>SUMIFS(tblNonPayrollIncrementalSpend[2028 Incremental Spend],tblNonPayrollIncrementalSpend[Type of Expense],$Z109,tblNonPayrollIncrementalSpend[Group],$Z$1)</f>
        <v>0</v>
      </c>
      <c r="AD109" s="12">
        <f>SUMIFS(tblNonPayrollIncrementalSpend[2029 Incremental Spend],tblNonPayrollIncrementalSpend[Type of Expense],$Z109,tblNonPayrollIncrementalSpend[Group],$Z$1)</f>
        <v>0</v>
      </c>
    </row>
    <row r="110" spans="2:30" outlineLevel="1" x14ac:dyDescent="0.35">
      <c r="B110" s="7" t="s">
        <v>29</v>
      </c>
      <c r="C110" s="12"/>
      <c r="D110" s="12">
        <f>SUMIF(tblNonPayrollIncrementalSpend[Type of Expense],$B110,tblNonPayrollIncrementalSpend[2027 Incremental Spend])</f>
        <v>0</v>
      </c>
      <c r="E110" s="12">
        <f>SUMIF(tblNonPayrollIncrementalSpend[Type of Expense],$B110,tblNonPayrollIncrementalSpend[2028 Incremental Spend])</f>
        <v>0</v>
      </c>
      <c r="F110" s="12">
        <f>SUMIF(tblNonPayrollIncrementalSpend[Type of Expense],$B110,tblNonPayrollIncrementalSpend[2029 Incremental Spend])</f>
        <v>0</v>
      </c>
      <c r="H110" s="7" t="s">
        <v>29</v>
      </c>
      <c r="I110" s="12"/>
      <c r="J110" s="12">
        <f>SUMIFS(tblNonPayrollIncrementalSpend[2027 Incremental Spend],tblNonPayrollIncrementalSpend[Type of Expense],$H110,tblNonPayrollIncrementalSpend[Group],$H$1)</f>
        <v>0</v>
      </c>
      <c r="K110" s="12">
        <f>SUMIFS(tblNonPayrollIncrementalSpend[2028 Incremental Spend],tblNonPayrollIncrementalSpend[Type of Expense],$H110,tblNonPayrollIncrementalSpend[Group],$H$1)</f>
        <v>0</v>
      </c>
      <c r="L110" s="12">
        <f>SUMIFS(tblNonPayrollIncrementalSpend[2029 Incremental Spend],tblNonPayrollIncrementalSpend[Type of Expense],$H110,tblNonPayrollIncrementalSpend[Group],$H$1)</f>
        <v>0</v>
      </c>
      <c r="N110" s="7" t="s">
        <v>29</v>
      </c>
      <c r="O110" s="12"/>
      <c r="P110" s="12">
        <f>SUMIFS(tblNonPayrollIncrementalSpend[2027 Incremental Spend],tblNonPayrollIncrementalSpend[Type of Expense],$N110,tblNonPayrollIncrementalSpend[Group],$N$1)</f>
        <v>0</v>
      </c>
      <c r="Q110" s="12">
        <f>SUMIFS(tblNonPayrollIncrementalSpend[2028 Incremental Spend],tblNonPayrollIncrementalSpend[Type of Expense],$N110,tblNonPayrollIncrementalSpend[Group],$N$1)</f>
        <v>0</v>
      </c>
      <c r="R110" s="12">
        <f>SUMIFS(tblNonPayrollIncrementalSpend[2029 Incremental Spend],tblNonPayrollIncrementalSpend[Type of Expense],$N110,tblNonPayrollIncrementalSpend[Group],$N$1)</f>
        <v>0</v>
      </c>
      <c r="T110" s="7" t="s">
        <v>29</v>
      </c>
      <c r="U110" s="12"/>
      <c r="V110" s="12">
        <f>SUMIFS(tblNonPayrollIncrementalSpend[2027 Incremental Spend],tblNonPayrollIncrementalSpend[Type of Expense],$T110,tblNonPayrollIncrementalSpend[Group],$T$1)</f>
        <v>0</v>
      </c>
      <c r="W110" s="12">
        <f>SUMIFS(tblNonPayrollIncrementalSpend[2028 Incremental Spend],tblNonPayrollIncrementalSpend[Type of Expense],$T110,tblNonPayrollIncrementalSpend[Group],$T$1)</f>
        <v>0</v>
      </c>
      <c r="X110" s="12">
        <f>SUMIFS(tblNonPayrollIncrementalSpend[2029 Incremental Spend],tblNonPayrollIncrementalSpend[Type of Expense],$T110,tblNonPayrollIncrementalSpend[Group],$T$1)</f>
        <v>0</v>
      </c>
      <c r="Z110" s="7" t="s">
        <v>29</v>
      </c>
      <c r="AA110" s="12"/>
      <c r="AB110" s="12">
        <f>SUMIFS(tblNonPayrollIncrementalSpend[2027 Incremental Spend],tblNonPayrollIncrementalSpend[Type of Expense],$Z110,tblNonPayrollIncrementalSpend[Group],$Z$1)</f>
        <v>0</v>
      </c>
      <c r="AC110" s="12">
        <f>SUMIFS(tblNonPayrollIncrementalSpend[2028 Incremental Spend],tblNonPayrollIncrementalSpend[Type of Expense],$Z110,tblNonPayrollIncrementalSpend[Group],$Z$1)</f>
        <v>0</v>
      </c>
      <c r="AD110" s="12">
        <f>SUMIFS(tblNonPayrollIncrementalSpend[2029 Incremental Spend],tblNonPayrollIncrementalSpend[Type of Expense],$Z110,tblNonPayrollIncrementalSpend[Group],$Z$1)</f>
        <v>0</v>
      </c>
    </row>
    <row r="111" spans="2:30" outlineLevel="1" x14ac:dyDescent="0.35">
      <c r="B111" s="7" t="s">
        <v>30</v>
      </c>
      <c r="C111" s="12"/>
      <c r="D111" s="12">
        <f>SUMIF(tblNonPayrollIncrementalSpend[Type of Expense],$B111,tblNonPayrollIncrementalSpend[2027 Incremental Spend])</f>
        <v>0</v>
      </c>
      <c r="E111" s="12">
        <f>SUMIF(tblNonPayrollIncrementalSpend[Type of Expense],$B111,tblNonPayrollIncrementalSpend[2028 Incremental Spend])</f>
        <v>0</v>
      </c>
      <c r="F111" s="12">
        <f>SUMIF(tblNonPayrollIncrementalSpend[Type of Expense],$B111,tblNonPayrollIncrementalSpend[2029 Incremental Spend])</f>
        <v>0</v>
      </c>
      <c r="H111" s="7" t="s">
        <v>30</v>
      </c>
      <c r="I111" s="12"/>
      <c r="J111" s="12">
        <f>SUMIFS(tblNonPayrollIncrementalSpend[2027 Incremental Spend],tblNonPayrollIncrementalSpend[Type of Expense],$H111,tblNonPayrollIncrementalSpend[Group],$H$1)</f>
        <v>0</v>
      </c>
      <c r="K111" s="12">
        <f>SUMIFS(tblNonPayrollIncrementalSpend[2028 Incremental Spend],tblNonPayrollIncrementalSpend[Type of Expense],$H111,tblNonPayrollIncrementalSpend[Group],$H$1)</f>
        <v>0</v>
      </c>
      <c r="L111" s="12">
        <f>SUMIFS(tblNonPayrollIncrementalSpend[2029 Incremental Spend],tblNonPayrollIncrementalSpend[Type of Expense],$H111,tblNonPayrollIncrementalSpend[Group],$H$1)</f>
        <v>0</v>
      </c>
      <c r="N111" s="7" t="s">
        <v>30</v>
      </c>
      <c r="O111" s="12"/>
      <c r="P111" s="12">
        <f>SUMIFS(tblNonPayrollIncrementalSpend[2027 Incremental Spend],tblNonPayrollIncrementalSpend[Type of Expense],$N111,tblNonPayrollIncrementalSpend[Group],$N$1)</f>
        <v>0</v>
      </c>
      <c r="Q111" s="12">
        <f>SUMIFS(tblNonPayrollIncrementalSpend[2028 Incremental Spend],tblNonPayrollIncrementalSpend[Type of Expense],$N111,tblNonPayrollIncrementalSpend[Group],$N$1)</f>
        <v>0</v>
      </c>
      <c r="R111" s="12">
        <f>SUMIFS(tblNonPayrollIncrementalSpend[2029 Incremental Spend],tblNonPayrollIncrementalSpend[Type of Expense],$N111,tblNonPayrollIncrementalSpend[Group],$N$1)</f>
        <v>0</v>
      </c>
      <c r="T111" s="7" t="s">
        <v>30</v>
      </c>
      <c r="U111" s="12"/>
      <c r="V111" s="12">
        <f>SUMIFS(tblNonPayrollIncrementalSpend[2027 Incremental Spend],tblNonPayrollIncrementalSpend[Type of Expense],$T111,tblNonPayrollIncrementalSpend[Group],$T$1)</f>
        <v>0</v>
      </c>
      <c r="W111" s="12">
        <f>SUMIFS(tblNonPayrollIncrementalSpend[2028 Incremental Spend],tblNonPayrollIncrementalSpend[Type of Expense],$T111,tblNonPayrollIncrementalSpend[Group],$T$1)</f>
        <v>0</v>
      </c>
      <c r="X111" s="12">
        <f>SUMIFS(tblNonPayrollIncrementalSpend[2029 Incremental Spend],tblNonPayrollIncrementalSpend[Type of Expense],$T111,tblNonPayrollIncrementalSpend[Group],$T$1)</f>
        <v>0</v>
      </c>
      <c r="Z111" s="7" t="s">
        <v>30</v>
      </c>
      <c r="AA111" s="12"/>
      <c r="AB111" s="12">
        <f>SUMIFS(tblNonPayrollIncrementalSpend[2027 Incremental Spend],tblNonPayrollIncrementalSpend[Type of Expense],$Z111,tblNonPayrollIncrementalSpend[Group],$Z$1)</f>
        <v>0</v>
      </c>
      <c r="AC111" s="12">
        <f>SUMIFS(tblNonPayrollIncrementalSpend[2028 Incremental Spend],tblNonPayrollIncrementalSpend[Type of Expense],$Z111,tblNonPayrollIncrementalSpend[Group],$Z$1)</f>
        <v>0</v>
      </c>
      <c r="AD111" s="12">
        <f>SUMIFS(tblNonPayrollIncrementalSpend[2029 Incremental Spend],tblNonPayrollIncrementalSpend[Type of Expense],$Z111,tblNonPayrollIncrementalSpend[Group],$Z$1)</f>
        <v>0</v>
      </c>
    </row>
    <row r="112" spans="2:30" outlineLevel="1" x14ac:dyDescent="0.35">
      <c r="B112" s="7" t="s">
        <v>31</v>
      </c>
      <c r="C112" s="12"/>
      <c r="D112" s="12">
        <f>SUMIF(tblNonPayrollIncrementalSpend[Type of Expense],$B112,tblNonPayrollIncrementalSpend[2027 Incremental Spend])</f>
        <v>0</v>
      </c>
      <c r="E112" s="12">
        <f>SUMIF(tblNonPayrollIncrementalSpend[Type of Expense],$B112,tblNonPayrollIncrementalSpend[2028 Incremental Spend])</f>
        <v>0</v>
      </c>
      <c r="F112" s="12">
        <f>SUMIF(tblNonPayrollIncrementalSpend[Type of Expense],$B112,tblNonPayrollIncrementalSpend[2029 Incremental Spend])</f>
        <v>0</v>
      </c>
      <c r="H112" s="7" t="s">
        <v>31</v>
      </c>
      <c r="I112" s="12"/>
      <c r="J112" s="12">
        <f>SUMIFS(tblNonPayrollIncrementalSpend[2027 Incremental Spend],tblNonPayrollIncrementalSpend[Type of Expense],$H112,tblNonPayrollIncrementalSpend[Group],$H$1)</f>
        <v>0</v>
      </c>
      <c r="K112" s="12">
        <f>SUMIFS(tblNonPayrollIncrementalSpend[2028 Incremental Spend],tblNonPayrollIncrementalSpend[Type of Expense],$H112,tblNonPayrollIncrementalSpend[Group],$H$1)</f>
        <v>0</v>
      </c>
      <c r="L112" s="12">
        <f>SUMIFS(tblNonPayrollIncrementalSpend[2029 Incremental Spend],tblNonPayrollIncrementalSpend[Type of Expense],$H112,tblNonPayrollIncrementalSpend[Group],$H$1)</f>
        <v>0</v>
      </c>
      <c r="N112" s="7" t="s">
        <v>31</v>
      </c>
      <c r="O112" s="12"/>
      <c r="P112" s="12">
        <f>SUMIFS(tblNonPayrollIncrementalSpend[2027 Incremental Spend],tblNonPayrollIncrementalSpend[Type of Expense],$N112,tblNonPayrollIncrementalSpend[Group],$N$1)</f>
        <v>0</v>
      </c>
      <c r="Q112" s="12">
        <f>SUMIFS(tblNonPayrollIncrementalSpend[2028 Incremental Spend],tblNonPayrollIncrementalSpend[Type of Expense],$N112,tblNonPayrollIncrementalSpend[Group],$N$1)</f>
        <v>0</v>
      </c>
      <c r="R112" s="12">
        <f>SUMIFS(tblNonPayrollIncrementalSpend[2029 Incremental Spend],tblNonPayrollIncrementalSpend[Type of Expense],$N112,tblNonPayrollIncrementalSpend[Group],$N$1)</f>
        <v>0</v>
      </c>
      <c r="T112" s="7" t="s">
        <v>31</v>
      </c>
      <c r="U112" s="12"/>
      <c r="V112" s="12">
        <f>SUMIFS(tblNonPayrollIncrementalSpend[2027 Incremental Spend],tblNonPayrollIncrementalSpend[Type of Expense],$T112,tblNonPayrollIncrementalSpend[Group],$T$1)</f>
        <v>0</v>
      </c>
      <c r="W112" s="12">
        <f>SUMIFS(tblNonPayrollIncrementalSpend[2028 Incremental Spend],tblNonPayrollIncrementalSpend[Type of Expense],$T112,tblNonPayrollIncrementalSpend[Group],$T$1)</f>
        <v>0</v>
      </c>
      <c r="X112" s="12">
        <f>SUMIFS(tblNonPayrollIncrementalSpend[2029 Incremental Spend],tblNonPayrollIncrementalSpend[Type of Expense],$T112,tblNonPayrollIncrementalSpend[Group],$T$1)</f>
        <v>0</v>
      </c>
      <c r="Z112" s="7" t="s">
        <v>31</v>
      </c>
      <c r="AA112" s="12"/>
      <c r="AB112" s="12">
        <f>SUMIFS(tblNonPayrollIncrementalSpend[2027 Incremental Spend],tblNonPayrollIncrementalSpend[Type of Expense],$Z112,tblNonPayrollIncrementalSpend[Group],$Z$1)</f>
        <v>0</v>
      </c>
      <c r="AC112" s="12">
        <f>SUMIFS(tblNonPayrollIncrementalSpend[2028 Incremental Spend],tblNonPayrollIncrementalSpend[Type of Expense],$Z112,tblNonPayrollIncrementalSpend[Group],$Z$1)</f>
        <v>0</v>
      </c>
      <c r="AD112" s="12">
        <f>SUMIFS(tblNonPayrollIncrementalSpend[2029 Incremental Spend],tblNonPayrollIncrementalSpend[Type of Expense],$Z112,tblNonPayrollIncrementalSpend[Group],$Z$1)</f>
        <v>0</v>
      </c>
    </row>
    <row r="113" spans="2:30" x14ac:dyDescent="0.35">
      <c r="B113" s="9" t="s">
        <v>41</v>
      </c>
      <c r="C113" s="13"/>
      <c r="D113" s="13">
        <f>SUM(D92:D112)</f>
        <v>0</v>
      </c>
      <c r="E113" s="60">
        <f>SUM(E92:E112)</f>
        <v>0</v>
      </c>
      <c r="F113" s="60">
        <f>SUM(F92:F112)</f>
        <v>0</v>
      </c>
      <c r="H113" s="9" t="s">
        <v>41</v>
      </c>
      <c r="I113" s="13"/>
      <c r="J113" s="13">
        <f>SUM(J92:J112)</f>
        <v>0</v>
      </c>
      <c r="K113" s="60">
        <f>SUM(K92:K112)</f>
        <v>0</v>
      </c>
      <c r="L113" s="60">
        <f>SUM(L92:L112)</f>
        <v>0</v>
      </c>
      <c r="N113" s="9" t="s">
        <v>41</v>
      </c>
      <c r="O113" s="13"/>
      <c r="P113" s="13">
        <f>SUM(P92:P112)</f>
        <v>0</v>
      </c>
      <c r="Q113" s="60">
        <f>SUM(Q92:Q112)</f>
        <v>0</v>
      </c>
      <c r="R113" s="60">
        <f>SUM(R92:R112)</f>
        <v>0</v>
      </c>
      <c r="T113" s="9" t="s">
        <v>41</v>
      </c>
      <c r="U113" s="13"/>
      <c r="V113" s="13">
        <f>SUM(V92:V112)</f>
        <v>0</v>
      </c>
      <c r="W113" s="60">
        <f>SUM(W92:W112)</f>
        <v>0</v>
      </c>
      <c r="X113" s="60">
        <f>SUM(X92:X112)</f>
        <v>0</v>
      </c>
      <c r="Z113" s="9" t="s">
        <v>41</v>
      </c>
      <c r="AA113" s="13"/>
      <c r="AB113" s="13">
        <f>SUM(AB92:AB112)</f>
        <v>0</v>
      </c>
      <c r="AC113" s="60">
        <f>SUM(AC92:AC112)</f>
        <v>0</v>
      </c>
      <c r="AD113" s="60">
        <f>SUM(AD92:AD112)</f>
        <v>0</v>
      </c>
    </row>
    <row r="114" spans="2:30" x14ac:dyDescent="0.35">
      <c r="B114" s="7"/>
      <c r="C114" s="12"/>
      <c r="D114" s="12"/>
      <c r="E114" s="12"/>
      <c r="F114" s="12"/>
      <c r="H114" s="7"/>
      <c r="I114" s="12"/>
      <c r="J114" s="12"/>
      <c r="K114" s="12"/>
      <c r="L114" s="12"/>
      <c r="N114" s="7"/>
      <c r="O114" s="12"/>
      <c r="P114" s="12"/>
      <c r="Q114" s="12"/>
      <c r="R114" s="12"/>
      <c r="T114" s="7"/>
      <c r="U114" s="12"/>
      <c r="V114" s="12"/>
      <c r="W114" s="12"/>
      <c r="X114" s="12"/>
      <c r="Z114" s="7"/>
      <c r="AA114" s="12"/>
      <c r="AB114" s="12"/>
      <c r="AC114" s="12"/>
      <c r="AD114" s="12"/>
    </row>
    <row r="115" spans="2:30" x14ac:dyDescent="0.35">
      <c r="B115" s="10" t="s">
        <v>1</v>
      </c>
      <c r="C115" s="18"/>
      <c r="D115" s="18">
        <f>D90+D113</f>
        <v>0</v>
      </c>
      <c r="E115" s="60">
        <f>E90+E113</f>
        <v>0</v>
      </c>
      <c r="F115" s="60">
        <f>F90+F113</f>
        <v>0</v>
      </c>
      <c r="H115" s="10" t="s">
        <v>1</v>
      </c>
      <c r="I115" s="18"/>
      <c r="J115" s="18">
        <f>J90+J113</f>
        <v>0</v>
      </c>
      <c r="K115" s="60">
        <f>K90+K113</f>
        <v>0</v>
      </c>
      <c r="L115" s="60">
        <f>L90+L113</f>
        <v>0</v>
      </c>
      <c r="N115" s="10" t="s">
        <v>1</v>
      </c>
      <c r="O115" s="18"/>
      <c r="P115" s="18">
        <f>P90+P113</f>
        <v>0</v>
      </c>
      <c r="Q115" s="60">
        <f>Q90+Q113</f>
        <v>0</v>
      </c>
      <c r="R115" s="60">
        <f>R90+R113</f>
        <v>0</v>
      </c>
      <c r="T115" s="10" t="s">
        <v>1</v>
      </c>
      <c r="U115" s="18"/>
      <c r="V115" s="18">
        <f>V90+V113</f>
        <v>0</v>
      </c>
      <c r="W115" s="60">
        <f>W90+W113</f>
        <v>0</v>
      </c>
      <c r="X115" s="60">
        <f>X90+X113</f>
        <v>0</v>
      </c>
      <c r="Z115" s="10" t="s">
        <v>1</v>
      </c>
      <c r="AA115" s="18"/>
      <c r="AB115" s="18">
        <f>AB90+AB113</f>
        <v>0</v>
      </c>
      <c r="AC115" s="60">
        <f>AC90+AC113</f>
        <v>0</v>
      </c>
      <c r="AD115" s="60">
        <f>AD90+AD113</f>
        <v>0</v>
      </c>
    </row>
  </sheetData>
  <sheetProtection algorithmName="SHA-512" hashValue="2OzbH/t1ExC+8NshB8PuYwkARRybpbrxtlf4RYD13UCU//Gkmrx2CsbAXKsi0HvJRb3bKePqWAfHVi/Wjdcylg==" saltValue="w6O53KNmwI+lUXtH665bZg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"/>
  <sheetViews>
    <sheetView zoomScale="60" zoomScaleNormal="60" workbookViewId="0">
      <selection activeCell="D51" sqref="D51"/>
    </sheetView>
  </sheetViews>
  <sheetFormatPr defaultRowHeight="14.5" x14ac:dyDescent="0.35"/>
  <cols>
    <col min="1" max="1" width="31.54296875" style="3" customWidth="1"/>
    <col min="2" max="2" width="16.453125" style="3" bestFit="1" customWidth="1"/>
    <col min="3" max="3" width="21.90625" style="3" bestFit="1" customWidth="1"/>
    <col min="4" max="4" width="37.6328125" style="3" bestFit="1" customWidth="1"/>
    <col min="5" max="5" width="37.6328125" style="4" bestFit="1" customWidth="1"/>
    <col min="6" max="6" width="38.7265625" style="4" bestFit="1" customWidth="1"/>
    <col min="7" max="7" width="37.6328125" style="4" bestFit="1" customWidth="1"/>
    <col min="8" max="8" width="30.36328125" style="4" bestFit="1" customWidth="1"/>
    <col min="9" max="9" width="16.90625" style="4" bestFit="1" customWidth="1"/>
    <col min="10" max="10" width="25.36328125" style="4" bestFit="1" customWidth="1"/>
    <col min="11" max="11" width="19.1796875" style="4" bestFit="1" customWidth="1"/>
    <col min="12" max="12" width="19.6328125" style="4" bestFit="1" customWidth="1"/>
    <col min="13" max="13" width="15.81640625" style="3" bestFit="1" customWidth="1"/>
    <col min="14" max="14" width="36.54296875" style="3" bestFit="1" customWidth="1"/>
    <col min="15" max="17" width="37.6328125" style="4" customWidth="1"/>
    <col min="18" max="19" width="30.36328125" style="4" bestFit="1" customWidth="1"/>
    <col min="20" max="20" width="9.26953125" style="3" customWidth="1"/>
    <col min="21" max="21" width="30.81640625" style="3" bestFit="1" customWidth="1"/>
    <col min="22" max="23" width="11.7265625" style="3" bestFit="1" customWidth="1"/>
    <col min="24" max="16384" width="8.7265625" style="3"/>
  </cols>
  <sheetData>
    <row r="1" spans="1:24" x14ac:dyDescent="0.35">
      <c r="A1" s="69" t="s">
        <v>167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</row>
    <row r="2" spans="1:24" x14ac:dyDescent="0.35">
      <c r="A2" s="29"/>
      <c r="B2" s="29"/>
      <c r="C2" s="29"/>
      <c r="D2" s="29"/>
      <c r="E2" s="30"/>
      <c r="F2" s="30"/>
      <c r="G2" s="30"/>
      <c r="H2" s="30"/>
      <c r="I2" s="30"/>
      <c r="J2" s="30"/>
      <c r="K2" s="30"/>
      <c r="L2" s="30"/>
      <c r="M2" s="29"/>
      <c r="N2" s="29"/>
      <c r="O2" s="29"/>
      <c r="P2" s="29"/>
      <c r="Q2" s="29"/>
      <c r="R2" s="29"/>
      <c r="S2" s="30"/>
      <c r="T2" s="29"/>
      <c r="U2" s="29"/>
    </row>
    <row r="3" spans="1:24" x14ac:dyDescent="0.35">
      <c r="A3" s="69" t="s">
        <v>42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U3" s="68" t="s">
        <v>173</v>
      </c>
      <c r="V3" s="68"/>
      <c r="W3" s="68"/>
      <c r="X3" s="68"/>
    </row>
    <row r="4" spans="1:24" s="5" customFormat="1" x14ac:dyDescent="0.35">
      <c r="A4" s="31" t="s">
        <v>43</v>
      </c>
      <c r="B4" s="31" t="s">
        <v>168</v>
      </c>
      <c r="C4" s="31" t="s">
        <v>44</v>
      </c>
      <c r="D4" s="31" t="s">
        <v>45</v>
      </c>
      <c r="E4" s="31" t="s">
        <v>46</v>
      </c>
      <c r="F4" s="31" t="s">
        <v>47</v>
      </c>
      <c r="G4" s="31" t="s">
        <v>48</v>
      </c>
      <c r="H4" s="31" t="s">
        <v>49</v>
      </c>
      <c r="I4" s="31" t="s">
        <v>50</v>
      </c>
      <c r="J4" s="50" t="s">
        <v>3</v>
      </c>
      <c r="K4" s="50" t="s">
        <v>5</v>
      </c>
      <c r="L4" s="50" t="s">
        <v>6</v>
      </c>
      <c r="M4" s="50" t="s">
        <v>7</v>
      </c>
      <c r="N4" s="50" t="s">
        <v>8</v>
      </c>
      <c r="O4" s="50" t="s">
        <v>51</v>
      </c>
      <c r="P4" s="51" t="s">
        <v>37</v>
      </c>
      <c r="Q4" s="51" t="s">
        <v>38</v>
      </c>
      <c r="R4" s="51" t="s">
        <v>39</v>
      </c>
      <c r="S4" s="31" t="s">
        <v>52</v>
      </c>
      <c r="T4" s="32"/>
      <c r="U4" s="31" t="s">
        <v>53</v>
      </c>
      <c r="V4" s="31">
        <v>2027</v>
      </c>
      <c r="W4" s="31">
        <v>2028</v>
      </c>
      <c r="X4" s="31">
        <v>2029</v>
      </c>
    </row>
    <row r="5" spans="1:24" x14ac:dyDescent="0.35">
      <c r="A5" s="55" t="str">
        <f>IFERROR(IF('Investment Case Asks - Monthly'!A5="","",'Investment Case Asks - Monthly'!A5),"")</f>
        <v/>
      </c>
      <c r="B5" s="66" t="str">
        <f>IFERROR(IF('Investment Case Asks - Monthly'!B5="","",'Investment Case Asks - Monthly'!B5),"")</f>
        <v/>
      </c>
      <c r="C5" s="55" t="str">
        <f>IFERROR(IF('Investment Case Asks - Monthly'!C5="","",'Investment Case Asks - Monthly'!C5),"")</f>
        <v/>
      </c>
      <c r="D5" s="55" t="str">
        <f>IFERROR(IF('Investment Case Asks - Monthly'!D5="","",'Investment Case Asks - Monthly'!D5),"")</f>
        <v/>
      </c>
      <c r="E5" s="56" t="str">
        <f>IFERROR(IF('Investment Case Asks - Monthly'!E5="","",'Investment Case Asks - Monthly'!E5),"")</f>
        <v/>
      </c>
      <c r="F5" s="57" t="str">
        <f>IFERROR(IF('Investment Case Asks - Monthly'!F5="","",'Investment Case Asks - Monthly'!F5),"")</f>
        <v/>
      </c>
      <c r="G5" s="56" t="str">
        <f>IFERROR(IF('Investment Case Asks - Monthly'!G5="","",'Investment Case Asks - Monthly'!G5),"")</f>
        <v/>
      </c>
      <c r="H5" s="57" t="str">
        <f>IFERROR(IF('Investment Case Asks - Monthly'!H5="","",'Investment Case Asks - Monthly'!H5),"")</f>
        <v/>
      </c>
      <c r="I5" s="58" t="str">
        <f>IFERROR(IF('Investment Case Asks - Monthly'!I5="","",'Investment Case Asks - Monthly'!I5),"")</f>
        <v/>
      </c>
      <c r="J5" s="59" t="str">
        <f>IFERROR(IF('Investment Case Asks - Monthly'!J5="","",'Investment Case Asks - Monthly'!J5),"")</f>
        <v/>
      </c>
      <c r="K5" s="59" t="str">
        <f>IFERROR(IF('Investment Case Asks - Monthly'!K5="","",'Investment Case Asks - Monthly'!K5),"")</f>
        <v/>
      </c>
      <c r="L5" s="59" t="str">
        <f>IFERROR(IF('Investment Case Asks - Monthly'!L5="","",'Investment Case Asks - Monthly'!L5),"")</f>
        <v/>
      </c>
      <c r="M5" s="59" t="str">
        <f>IFERROR(IF('Investment Case Asks - Monthly'!M5="","",'Investment Case Asks - Monthly'!M5),"")</f>
        <v/>
      </c>
      <c r="N5" s="59" t="str">
        <f>IFERROR(IF('Investment Case Asks - Monthly'!N5="","",'Investment Case Asks - Monthly'!N5),"")</f>
        <v/>
      </c>
      <c r="O5" s="59" t="str">
        <f>IFERROR(IF('Investment Case Asks - Monthly'!O5="","",'Investment Case Asks - Monthly'!O5),"")</f>
        <v/>
      </c>
      <c r="P5" s="52" t="str">
        <f>IFERROR(IF('Investment Case Asks - Monthly'!AB5="","",'Investment Case Asks - Monthly'!AB5),"")</f>
        <v/>
      </c>
      <c r="Q5" s="52" t="str">
        <f>IFERROR(IF('Investment Case Asks - Monthly'!AO5="","",'Investment Case Asks - Monthly'!AO5),"")</f>
        <v/>
      </c>
      <c r="R5" s="52" t="str">
        <f>IFERROR(IF('Investment Case Asks - Monthly'!BB5="","",'Investment Case Asks - Monthly'!BB5),"")</f>
        <v/>
      </c>
      <c r="S5" s="57" t="str">
        <f>IFERROR(IF('Investment Case Asks - Monthly'!BC5="","",'Investment Case Asks - Monthly'!BC5),"")</f>
        <v/>
      </c>
      <c r="T5" s="30"/>
      <c r="U5" s="29" t="s">
        <v>54</v>
      </c>
      <c r="V5" s="57">
        <f>O22</f>
        <v>0</v>
      </c>
      <c r="W5" s="57">
        <f>P22</f>
        <v>0</v>
      </c>
      <c r="X5" s="57">
        <f>Q22</f>
        <v>0</v>
      </c>
    </row>
    <row r="6" spans="1:24" x14ac:dyDescent="0.35">
      <c r="A6" s="55" t="str">
        <f>IFERROR(IF('Investment Case Asks - Monthly'!A6="","",'Investment Case Asks - Monthly'!A6),"")</f>
        <v/>
      </c>
      <c r="B6" s="66" t="str">
        <f>IFERROR(IF('Investment Case Asks - Monthly'!B6="","",'Investment Case Asks - Monthly'!B6),"")</f>
        <v/>
      </c>
      <c r="C6" s="55" t="str">
        <f>IFERROR(IF('Investment Case Asks - Monthly'!C6="","",'Investment Case Asks - Monthly'!C6),"")</f>
        <v/>
      </c>
      <c r="D6" s="55" t="str">
        <f>IFERROR(IF('Investment Case Asks - Monthly'!D6="","",'Investment Case Asks - Monthly'!D6),"")</f>
        <v/>
      </c>
      <c r="E6" s="56" t="str">
        <f>IFERROR(IF('Investment Case Asks - Monthly'!E6="","",'Investment Case Asks - Monthly'!E6),"")</f>
        <v/>
      </c>
      <c r="F6" s="57" t="str">
        <f>IFERROR(IF('Investment Case Asks - Monthly'!F6="","",'Investment Case Asks - Monthly'!F6),"")</f>
        <v/>
      </c>
      <c r="G6" s="56" t="str">
        <f>IFERROR(IF('Investment Case Asks - Monthly'!G6="","",'Investment Case Asks - Monthly'!G6),"")</f>
        <v/>
      </c>
      <c r="H6" s="57" t="str">
        <f>IFERROR(IF('Investment Case Asks - Monthly'!H6="","",'Investment Case Asks - Monthly'!H6),"")</f>
        <v/>
      </c>
      <c r="I6" s="58" t="str">
        <f>IFERROR(IF('Investment Case Asks - Monthly'!I6="","",'Investment Case Asks - Monthly'!I6),"")</f>
        <v/>
      </c>
      <c r="J6" s="59" t="str">
        <f>IFERROR(IF('Investment Case Asks - Monthly'!J6="","",'Investment Case Asks - Monthly'!J6),"")</f>
        <v/>
      </c>
      <c r="K6" s="59" t="str">
        <f>IFERROR(IF('Investment Case Asks - Monthly'!K6="","",'Investment Case Asks - Monthly'!K6),"")</f>
        <v/>
      </c>
      <c r="L6" s="59" t="str">
        <f>IFERROR(IF('Investment Case Asks - Monthly'!L6="","",'Investment Case Asks - Monthly'!L6),"")</f>
        <v/>
      </c>
      <c r="M6" s="59" t="str">
        <f>IFERROR(IF('Investment Case Asks - Monthly'!M6="","",'Investment Case Asks - Monthly'!M6),"")</f>
        <v/>
      </c>
      <c r="N6" s="59" t="str">
        <f>IFERROR(IF('Investment Case Asks - Monthly'!N6="","",'Investment Case Asks - Monthly'!N6),"")</f>
        <v/>
      </c>
      <c r="O6" s="59" t="str">
        <f>IFERROR(IF('Investment Case Asks - Monthly'!O6="","",'Investment Case Asks - Monthly'!O6),"")</f>
        <v/>
      </c>
      <c r="P6" s="52" t="str">
        <f>IFERROR(IF('Investment Case Asks - Monthly'!AB6="","",'Investment Case Asks - Monthly'!AB6),"")</f>
        <v/>
      </c>
      <c r="Q6" s="52" t="str">
        <f>IFERROR(IF('Investment Case Asks - Monthly'!AO6="","",'Investment Case Asks - Monthly'!AO6),"")</f>
        <v/>
      </c>
      <c r="R6" s="52" t="str">
        <f>IFERROR(IF('Investment Case Asks - Monthly'!BB6="","",'Investment Case Asks - Monthly'!BB6),"")</f>
        <v/>
      </c>
      <c r="S6" s="57" t="str">
        <f>IFERROR(IF('Investment Case Asks - Monthly'!BC6="","",'Investment Case Asks - Monthly'!BC6),"")</f>
        <v/>
      </c>
      <c r="T6" s="30"/>
      <c r="U6" s="29" t="s">
        <v>55</v>
      </c>
      <c r="V6" s="57">
        <f>D44</f>
        <v>0</v>
      </c>
      <c r="W6" s="57">
        <f>E44</f>
        <v>0</v>
      </c>
      <c r="X6" s="57">
        <f>F44</f>
        <v>0</v>
      </c>
    </row>
    <row r="7" spans="1:24" ht="15" customHeight="1" thickBot="1" x14ac:dyDescent="0.4">
      <c r="A7" s="55" t="str">
        <f>IFERROR(IF('Investment Case Asks - Monthly'!A7="","",'Investment Case Asks - Monthly'!A7),"")</f>
        <v/>
      </c>
      <c r="B7" s="66" t="str">
        <f>IFERROR(IF('Investment Case Asks - Monthly'!B7="","",'Investment Case Asks - Monthly'!B7),"")</f>
        <v/>
      </c>
      <c r="C7" s="55" t="str">
        <f>IFERROR(IF('Investment Case Asks - Monthly'!C7="","",'Investment Case Asks - Monthly'!C7),"")</f>
        <v/>
      </c>
      <c r="D7" s="55" t="str">
        <f>IFERROR(IF('Investment Case Asks - Monthly'!D7="","",'Investment Case Asks - Monthly'!D7),"")</f>
        <v/>
      </c>
      <c r="E7" s="56" t="str">
        <f>IFERROR(IF('Investment Case Asks - Monthly'!E7="","",'Investment Case Asks - Monthly'!E7),"")</f>
        <v/>
      </c>
      <c r="F7" s="57" t="str">
        <f>IFERROR(IF('Investment Case Asks - Monthly'!F7="","",'Investment Case Asks - Monthly'!F7),"")</f>
        <v/>
      </c>
      <c r="G7" s="56" t="str">
        <f>IFERROR(IF('Investment Case Asks - Monthly'!G7="","",'Investment Case Asks - Monthly'!G7),"")</f>
        <v/>
      </c>
      <c r="H7" s="57" t="str">
        <f>IFERROR(IF('Investment Case Asks - Monthly'!H7="","",'Investment Case Asks - Monthly'!H7),"")</f>
        <v/>
      </c>
      <c r="I7" s="58" t="str">
        <f>IFERROR(IF('Investment Case Asks - Monthly'!I7="","",'Investment Case Asks - Monthly'!I7),"")</f>
        <v/>
      </c>
      <c r="J7" s="59" t="str">
        <f>IFERROR(IF('Investment Case Asks - Monthly'!J7="","",'Investment Case Asks - Monthly'!J7),"")</f>
        <v/>
      </c>
      <c r="K7" s="59" t="str">
        <f>IFERROR(IF('Investment Case Asks - Monthly'!K7="","",'Investment Case Asks - Monthly'!K7),"")</f>
        <v/>
      </c>
      <c r="L7" s="59" t="str">
        <f>IFERROR(IF('Investment Case Asks - Monthly'!L7="","",'Investment Case Asks - Monthly'!L7),"")</f>
        <v/>
      </c>
      <c r="M7" s="59" t="str">
        <f>IFERROR(IF('Investment Case Asks - Monthly'!M7="","",'Investment Case Asks - Monthly'!M7),"")</f>
        <v/>
      </c>
      <c r="N7" s="59" t="str">
        <f>IFERROR(IF('Investment Case Asks - Monthly'!N7="","",'Investment Case Asks - Monthly'!N7),"")</f>
        <v/>
      </c>
      <c r="O7" s="59" t="str">
        <f>IFERROR(IF('Investment Case Asks - Monthly'!O7="","",'Investment Case Asks - Monthly'!O7),"")</f>
        <v/>
      </c>
      <c r="P7" s="52" t="str">
        <f>IFERROR(IF('Investment Case Asks - Monthly'!AB7="","",'Investment Case Asks - Monthly'!AB7),"")</f>
        <v/>
      </c>
      <c r="Q7" s="52" t="str">
        <f>IFERROR(IF('Investment Case Asks - Monthly'!AO7="","",'Investment Case Asks - Monthly'!AO7),"")</f>
        <v/>
      </c>
      <c r="R7" s="52" t="str">
        <f>IFERROR(IF('Investment Case Asks - Monthly'!BB7="","",'Investment Case Asks - Monthly'!BB7),"")</f>
        <v/>
      </c>
      <c r="S7" s="57" t="str">
        <f>IFERROR(IF('Investment Case Asks - Monthly'!BC7="","",'Investment Case Asks - Monthly'!BC7),"")</f>
        <v/>
      </c>
      <c r="T7" s="30"/>
      <c r="U7" s="37" t="s">
        <v>56</v>
      </c>
      <c r="V7" s="38">
        <f>SUM(V5:V6)</f>
        <v>0</v>
      </c>
      <c r="W7" s="38">
        <f>SUM(W5:W6)</f>
        <v>0</v>
      </c>
      <c r="X7" s="38">
        <f>SUM(X5:X6)</f>
        <v>0</v>
      </c>
    </row>
    <row r="8" spans="1:24" ht="15" customHeight="1" thickTop="1" x14ac:dyDescent="0.35">
      <c r="A8" s="55" t="str">
        <f>IFERROR(IF('Investment Case Asks - Monthly'!A8="","",'Investment Case Asks - Monthly'!A8),"")</f>
        <v/>
      </c>
      <c r="B8" s="66" t="str">
        <f>IFERROR(IF('Investment Case Asks - Monthly'!B8="","",'Investment Case Asks - Monthly'!B8),"")</f>
        <v/>
      </c>
      <c r="C8" s="55" t="str">
        <f>IFERROR(IF('Investment Case Asks - Monthly'!C8="","",'Investment Case Asks - Monthly'!C8),"")</f>
        <v/>
      </c>
      <c r="D8" s="55" t="str">
        <f>IFERROR(IF('Investment Case Asks - Monthly'!D8="","",'Investment Case Asks - Monthly'!D8),"")</f>
        <v/>
      </c>
      <c r="E8" s="56" t="str">
        <f>IFERROR(IF('Investment Case Asks - Monthly'!E8="","",'Investment Case Asks - Monthly'!E8),"")</f>
        <v/>
      </c>
      <c r="F8" s="57" t="str">
        <f>IFERROR(IF('Investment Case Asks - Monthly'!F8="","",'Investment Case Asks - Monthly'!F8),"")</f>
        <v/>
      </c>
      <c r="G8" s="56" t="str">
        <f>IFERROR(IF('Investment Case Asks - Monthly'!G8="","",'Investment Case Asks - Monthly'!G8),"")</f>
        <v/>
      </c>
      <c r="H8" s="57" t="str">
        <f>IFERROR(IF('Investment Case Asks - Monthly'!H8="","",'Investment Case Asks - Monthly'!H8),"")</f>
        <v/>
      </c>
      <c r="I8" s="58" t="str">
        <f>IFERROR(IF('Investment Case Asks - Monthly'!I8="","",'Investment Case Asks - Monthly'!I8),"")</f>
        <v/>
      </c>
      <c r="J8" s="59" t="str">
        <f>IFERROR(IF('Investment Case Asks - Monthly'!J8="","",'Investment Case Asks - Monthly'!J8),"")</f>
        <v/>
      </c>
      <c r="K8" s="59" t="str">
        <f>IFERROR(IF('Investment Case Asks - Monthly'!K8="","",'Investment Case Asks - Monthly'!K8),"")</f>
        <v/>
      </c>
      <c r="L8" s="59" t="str">
        <f>IFERROR(IF('Investment Case Asks - Monthly'!L8="","",'Investment Case Asks - Monthly'!L8),"")</f>
        <v/>
      </c>
      <c r="M8" s="59" t="str">
        <f>IFERROR(IF('Investment Case Asks - Monthly'!M8="","",'Investment Case Asks - Monthly'!M8),"")</f>
        <v/>
      </c>
      <c r="N8" s="59" t="str">
        <f>IFERROR(IF('Investment Case Asks - Monthly'!N8="","",'Investment Case Asks - Monthly'!N8),"")</f>
        <v/>
      </c>
      <c r="O8" s="59" t="str">
        <f>IFERROR(IF('Investment Case Asks - Monthly'!O8="","",'Investment Case Asks - Monthly'!O8),"")</f>
        <v/>
      </c>
      <c r="P8" s="52" t="str">
        <f>IFERROR(IF('Investment Case Asks - Monthly'!AB8="","",'Investment Case Asks - Monthly'!AB8),"")</f>
        <v/>
      </c>
      <c r="Q8" s="52" t="str">
        <f>IFERROR(IF('Investment Case Asks - Monthly'!AO8="","",'Investment Case Asks - Monthly'!AO8),"")</f>
        <v/>
      </c>
      <c r="R8" s="52" t="str">
        <f>IFERROR(IF('Investment Case Asks - Monthly'!BB8="","",'Investment Case Asks - Monthly'!BB8),"")</f>
        <v/>
      </c>
      <c r="S8" s="57" t="str">
        <f>IFERROR(IF('Investment Case Asks - Monthly'!BC8="","",'Investment Case Asks - Monthly'!BC8),"")</f>
        <v/>
      </c>
      <c r="T8" s="30"/>
      <c r="U8" s="29"/>
      <c r="V8" s="30"/>
    </row>
    <row r="9" spans="1:24" x14ac:dyDescent="0.35">
      <c r="A9" s="55" t="str">
        <f>IFERROR(IF('Investment Case Asks - Monthly'!A9="","",'Investment Case Asks - Monthly'!A9),"")</f>
        <v/>
      </c>
      <c r="B9" s="66" t="str">
        <f>IFERROR(IF('Investment Case Asks - Monthly'!B9="","",'Investment Case Asks - Monthly'!B9),"")</f>
        <v/>
      </c>
      <c r="C9" s="55" t="str">
        <f>IFERROR(IF('Investment Case Asks - Monthly'!C9="","",'Investment Case Asks - Monthly'!C9),"")</f>
        <v/>
      </c>
      <c r="D9" s="55" t="str">
        <f>IFERROR(IF('Investment Case Asks - Monthly'!D9="","",'Investment Case Asks - Monthly'!D9),"")</f>
        <v/>
      </c>
      <c r="E9" s="56" t="str">
        <f>IFERROR(IF('Investment Case Asks - Monthly'!E9="","",'Investment Case Asks - Monthly'!E9),"")</f>
        <v/>
      </c>
      <c r="F9" s="57" t="str">
        <f>IFERROR(IF('Investment Case Asks - Monthly'!F9="","",'Investment Case Asks - Monthly'!F9),"")</f>
        <v/>
      </c>
      <c r="G9" s="56" t="str">
        <f>IFERROR(IF('Investment Case Asks - Monthly'!G9="","",'Investment Case Asks - Monthly'!G9),"")</f>
        <v/>
      </c>
      <c r="H9" s="57" t="str">
        <f>IFERROR(IF('Investment Case Asks - Monthly'!H9="","",'Investment Case Asks - Monthly'!H9),"")</f>
        <v/>
      </c>
      <c r="I9" s="58" t="str">
        <f>IFERROR(IF('Investment Case Asks - Monthly'!I9="","",'Investment Case Asks - Monthly'!I9),"")</f>
        <v/>
      </c>
      <c r="J9" s="59" t="str">
        <f>IFERROR(IF('Investment Case Asks - Monthly'!J9="","",'Investment Case Asks - Monthly'!J9),"")</f>
        <v/>
      </c>
      <c r="K9" s="59" t="str">
        <f>IFERROR(IF('Investment Case Asks - Monthly'!K9="","",'Investment Case Asks - Monthly'!K9),"")</f>
        <v/>
      </c>
      <c r="L9" s="59" t="str">
        <f>IFERROR(IF('Investment Case Asks - Monthly'!L9="","",'Investment Case Asks - Monthly'!L9),"")</f>
        <v/>
      </c>
      <c r="M9" s="59" t="str">
        <f>IFERROR(IF('Investment Case Asks - Monthly'!M9="","",'Investment Case Asks - Monthly'!M9),"")</f>
        <v/>
      </c>
      <c r="N9" s="59" t="str">
        <f>IFERROR(IF('Investment Case Asks - Monthly'!N9="","",'Investment Case Asks - Monthly'!N9),"")</f>
        <v/>
      </c>
      <c r="O9" s="59" t="str">
        <f>IFERROR(IF('Investment Case Asks - Monthly'!O9="","",'Investment Case Asks - Monthly'!O9),"")</f>
        <v/>
      </c>
      <c r="P9" s="52" t="str">
        <f>IFERROR(IF('Investment Case Asks - Monthly'!AB9="","",'Investment Case Asks - Monthly'!AB9),"")</f>
        <v/>
      </c>
      <c r="Q9" s="52" t="str">
        <f>IFERROR(IF('Investment Case Asks - Monthly'!AO9="","",'Investment Case Asks - Monthly'!AO9),"")</f>
        <v/>
      </c>
      <c r="R9" s="52" t="str">
        <f>IFERROR(IF('Investment Case Asks - Monthly'!BB9="","",'Investment Case Asks - Monthly'!BB9),"")</f>
        <v/>
      </c>
      <c r="S9" s="57" t="str">
        <f>IFERROR(IF('Investment Case Asks - Monthly'!BC9="","",'Investment Case Asks - Monthly'!BC9),"")</f>
        <v/>
      </c>
      <c r="T9" s="30"/>
      <c r="U9" s="29"/>
      <c r="V9" s="30"/>
    </row>
    <row r="10" spans="1:24" x14ac:dyDescent="0.35">
      <c r="A10" s="55" t="str">
        <f>IFERROR(IF('Investment Case Asks - Monthly'!A10="","",'Investment Case Asks - Monthly'!A10),"")</f>
        <v/>
      </c>
      <c r="B10" s="66" t="str">
        <f>IFERROR(IF('Investment Case Asks - Monthly'!B10="","",'Investment Case Asks - Monthly'!B10),"")</f>
        <v/>
      </c>
      <c r="C10" s="55" t="str">
        <f>IFERROR(IF('Investment Case Asks - Monthly'!C10="","",'Investment Case Asks - Monthly'!C10),"")</f>
        <v/>
      </c>
      <c r="D10" s="55" t="str">
        <f>IFERROR(IF('Investment Case Asks - Monthly'!D10="","",'Investment Case Asks - Monthly'!D10),"")</f>
        <v/>
      </c>
      <c r="E10" s="56" t="str">
        <f>IFERROR(IF('Investment Case Asks - Monthly'!E10="","",'Investment Case Asks - Monthly'!E10),"")</f>
        <v/>
      </c>
      <c r="F10" s="57" t="str">
        <f>IFERROR(IF('Investment Case Asks - Monthly'!F10="","",'Investment Case Asks - Monthly'!F10),"")</f>
        <v/>
      </c>
      <c r="G10" s="56" t="str">
        <f>IFERROR(IF('Investment Case Asks - Monthly'!G10="","",'Investment Case Asks - Monthly'!G10),"")</f>
        <v/>
      </c>
      <c r="H10" s="57" t="str">
        <f>IFERROR(IF('Investment Case Asks - Monthly'!H10="","",'Investment Case Asks - Monthly'!H10),"")</f>
        <v/>
      </c>
      <c r="I10" s="58" t="str">
        <f>IFERROR(IF('Investment Case Asks - Monthly'!I10="","",'Investment Case Asks - Monthly'!I10),"")</f>
        <v/>
      </c>
      <c r="J10" s="59" t="str">
        <f>IFERROR(IF('Investment Case Asks - Monthly'!J10="","",'Investment Case Asks - Monthly'!J10),"")</f>
        <v/>
      </c>
      <c r="K10" s="59" t="str">
        <f>IFERROR(IF('Investment Case Asks - Monthly'!K10="","",'Investment Case Asks - Monthly'!K10),"")</f>
        <v/>
      </c>
      <c r="L10" s="59" t="str">
        <f>IFERROR(IF('Investment Case Asks - Monthly'!L10="","",'Investment Case Asks - Monthly'!L10),"")</f>
        <v/>
      </c>
      <c r="M10" s="59" t="str">
        <f>IFERROR(IF('Investment Case Asks - Monthly'!M10="","",'Investment Case Asks - Monthly'!M10),"")</f>
        <v/>
      </c>
      <c r="N10" s="59" t="str">
        <f>IFERROR(IF('Investment Case Asks - Monthly'!N10="","",'Investment Case Asks - Monthly'!N10),"")</f>
        <v/>
      </c>
      <c r="O10" s="59" t="str">
        <f>IFERROR(IF('Investment Case Asks - Monthly'!O10="","",'Investment Case Asks - Monthly'!O10),"")</f>
        <v/>
      </c>
      <c r="P10" s="52" t="str">
        <f>IFERROR(IF('Investment Case Asks - Monthly'!AB10="","",'Investment Case Asks - Monthly'!AB10),"")</f>
        <v/>
      </c>
      <c r="Q10" s="52" t="str">
        <f>IFERROR(IF('Investment Case Asks - Monthly'!AO10="","",'Investment Case Asks - Monthly'!AO10),"")</f>
        <v/>
      </c>
      <c r="R10" s="52" t="str">
        <f>IFERROR(IF('Investment Case Asks - Monthly'!BB10="","",'Investment Case Asks - Monthly'!BB10),"")</f>
        <v/>
      </c>
      <c r="S10" s="57" t="str">
        <f>IFERROR(IF('Investment Case Asks - Monthly'!BC10="","",'Investment Case Asks - Monthly'!BC10),"")</f>
        <v/>
      </c>
      <c r="T10" s="30"/>
      <c r="U10" s="29"/>
      <c r="V10" s="30"/>
    </row>
    <row r="11" spans="1:24" x14ac:dyDescent="0.35">
      <c r="A11" s="55" t="str">
        <f>IFERROR(IF('Investment Case Asks - Monthly'!A11="","",'Investment Case Asks - Monthly'!A11),"")</f>
        <v/>
      </c>
      <c r="B11" s="66" t="str">
        <f>IFERROR(IF('Investment Case Asks - Monthly'!B11="","",'Investment Case Asks - Monthly'!B11),"")</f>
        <v/>
      </c>
      <c r="C11" s="55" t="str">
        <f>IFERROR(IF('Investment Case Asks - Monthly'!C11="","",'Investment Case Asks - Monthly'!C11),"")</f>
        <v/>
      </c>
      <c r="D11" s="55" t="str">
        <f>IFERROR(IF('Investment Case Asks - Monthly'!D11="","",'Investment Case Asks - Monthly'!D11),"")</f>
        <v/>
      </c>
      <c r="E11" s="56" t="str">
        <f>IFERROR(IF('Investment Case Asks - Monthly'!E11="","",'Investment Case Asks - Monthly'!E11),"")</f>
        <v/>
      </c>
      <c r="F11" s="57" t="str">
        <f>IFERROR(IF('Investment Case Asks - Monthly'!F11="","",'Investment Case Asks - Monthly'!F11),"")</f>
        <v/>
      </c>
      <c r="G11" s="56" t="str">
        <f>IFERROR(IF('Investment Case Asks - Monthly'!G11="","",'Investment Case Asks - Monthly'!G11),"")</f>
        <v/>
      </c>
      <c r="H11" s="57" t="str">
        <f>IFERROR(IF('Investment Case Asks - Monthly'!H11="","",'Investment Case Asks - Monthly'!H11),"")</f>
        <v/>
      </c>
      <c r="I11" s="58" t="str">
        <f>IFERROR(IF('Investment Case Asks - Monthly'!I11="","",'Investment Case Asks - Monthly'!I11),"")</f>
        <v/>
      </c>
      <c r="J11" s="59" t="str">
        <f>IFERROR(IF('Investment Case Asks - Monthly'!J11="","",'Investment Case Asks - Monthly'!J11),"")</f>
        <v/>
      </c>
      <c r="K11" s="59" t="str">
        <f>IFERROR(IF('Investment Case Asks - Monthly'!K11="","",'Investment Case Asks - Monthly'!K11),"")</f>
        <v/>
      </c>
      <c r="L11" s="59" t="str">
        <f>IFERROR(IF('Investment Case Asks - Monthly'!L11="","",'Investment Case Asks - Monthly'!L11),"")</f>
        <v/>
      </c>
      <c r="M11" s="59" t="str">
        <f>IFERROR(IF('Investment Case Asks - Monthly'!M11="","",'Investment Case Asks - Monthly'!M11),"")</f>
        <v/>
      </c>
      <c r="N11" s="59" t="str">
        <f>IFERROR(IF('Investment Case Asks - Monthly'!N11="","",'Investment Case Asks - Monthly'!N11),"")</f>
        <v/>
      </c>
      <c r="O11" s="59" t="str">
        <f>IFERROR(IF('Investment Case Asks - Monthly'!O11="","",'Investment Case Asks - Monthly'!O11),"")</f>
        <v/>
      </c>
      <c r="P11" s="52" t="str">
        <f>IFERROR(IF('Investment Case Asks - Monthly'!AB11="","",'Investment Case Asks - Monthly'!AB11),"")</f>
        <v/>
      </c>
      <c r="Q11" s="52" t="str">
        <f>IFERROR(IF('Investment Case Asks - Monthly'!AO11="","",'Investment Case Asks - Monthly'!AO11),"")</f>
        <v/>
      </c>
      <c r="R11" s="52" t="str">
        <f>IFERROR(IF('Investment Case Asks - Monthly'!BB11="","",'Investment Case Asks - Monthly'!BB11),"")</f>
        <v/>
      </c>
      <c r="S11" s="57" t="str">
        <f>IFERROR(IF('Investment Case Asks - Monthly'!BC11="","",'Investment Case Asks - Monthly'!BC11),"")</f>
        <v/>
      </c>
      <c r="T11" s="30"/>
      <c r="U11" s="29"/>
      <c r="V11" s="30"/>
    </row>
    <row r="12" spans="1:24" x14ac:dyDescent="0.35">
      <c r="A12" s="55" t="str">
        <f>IFERROR(IF('Investment Case Asks - Monthly'!A12="","",'Investment Case Asks - Monthly'!A12),"")</f>
        <v/>
      </c>
      <c r="B12" s="66" t="str">
        <f>IFERROR(IF('Investment Case Asks - Monthly'!B12="","",'Investment Case Asks - Monthly'!B12),"")</f>
        <v/>
      </c>
      <c r="C12" s="55" t="str">
        <f>IFERROR(IF('Investment Case Asks - Monthly'!C12="","",'Investment Case Asks - Monthly'!C12),"")</f>
        <v/>
      </c>
      <c r="D12" s="55" t="str">
        <f>IFERROR(IF('Investment Case Asks - Monthly'!D12="","",'Investment Case Asks - Monthly'!D12),"")</f>
        <v/>
      </c>
      <c r="E12" s="56" t="str">
        <f>IFERROR(IF('Investment Case Asks - Monthly'!E12="","",'Investment Case Asks - Monthly'!E12),"")</f>
        <v/>
      </c>
      <c r="F12" s="57" t="str">
        <f>IFERROR(IF('Investment Case Asks - Monthly'!F12="","",'Investment Case Asks - Monthly'!F12),"")</f>
        <v/>
      </c>
      <c r="G12" s="56" t="str">
        <f>IFERROR(IF('Investment Case Asks - Monthly'!G12="","",'Investment Case Asks - Monthly'!G12),"")</f>
        <v/>
      </c>
      <c r="H12" s="57" t="str">
        <f>IFERROR(IF('Investment Case Asks - Monthly'!H12="","",'Investment Case Asks - Monthly'!H12),"")</f>
        <v/>
      </c>
      <c r="I12" s="58" t="str">
        <f>IFERROR(IF('Investment Case Asks - Monthly'!I12="","",'Investment Case Asks - Monthly'!I12),"")</f>
        <v/>
      </c>
      <c r="J12" s="59" t="str">
        <f>IFERROR(IF('Investment Case Asks - Monthly'!J12="","",'Investment Case Asks - Monthly'!J12),"")</f>
        <v/>
      </c>
      <c r="K12" s="59" t="str">
        <f>IFERROR(IF('Investment Case Asks - Monthly'!K12="","",'Investment Case Asks - Monthly'!K12),"")</f>
        <v/>
      </c>
      <c r="L12" s="59" t="str">
        <f>IFERROR(IF('Investment Case Asks - Monthly'!L12="","",'Investment Case Asks - Monthly'!L12),"")</f>
        <v/>
      </c>
      <c r="M12" s="59" t="str">
        <f>IFERROR(IF('Investment Case Asks - Monthly'!M12="","",'Investment Case Asks - Monthly'!M12),"")</f>
        <v/>
      </c>
      <c r="N12" s="59" t="str">
        <f>IFERROR(IF('Investment Case Asks - Monthly'!N12="","",'Investment Case Asks - Monthly'!N12),"")</f>
        <v/>
      </c>
      <c r="O12" s="59" t="str">
        <f>IFERROR(IF('Investment Case Asks - Monthly'!O12="","",'Investment Case Asks - Monthly'!O12),"")</f>
        <v/>
      </c>
      <c r="P12" s="52" t="str">
        <f>IFERROR(IF('Investment Case Asks - Monthly'!AB12="","",'Investment Case Asks - Monthly'!AB12),"")</f>
        <v/>
      </c>
      <c r="Q12" s="52" t="str">
        <f>IFERROR(IF('Investment Case Asks - Monthly'!AO12="","",'Investment Case Asks - Monthly'!AO12),"")</f>
        <v/>
      </c>
      <c r="R12" s="52" t="str">
        <f>IFERROR(IF('Investment Case Asks - Monthly'!BB12="","",'Investment Case Asks - Monthly'!BB12),"")</f>
        <v/>
      </c>
      <c r="S12" s="57" t="str">
        <f>IFERROR(IF('Investment Case Asks - Monthly'!BC12="","",'Investment Case Asks - Monthly'!BC12),"")</f>
        <v/>
      </c>
      <c r="T12" s="30"/>
      <c r="U12" s="29"/>
      <c r="V12" s="30"/>
    </row>
    <row r="13" spans="1:24" x14ac:dyDescent="0.35">
      <c r="A13" s="55" t="str">
        <f>IFERROR(IF('Investment Case Asks - Monthly'!A13="","",'Investment Case Asks - Monthly'!A13),"")</f>
        <v/>
      </c>
      <c r="B13" s="66" t="str">
        <f>IFERROR(IF('Investment Case Asks - Monthly'!B13="","",'Investment Case Asks - Monthly'!B13),"")</f>
        <v/>
      </c>
      <c r="C13" s="55" t="str">
        <f>IFERROR(IF('Investment Case Asks - Monthly'!C13="","",'Investment Case Asks - Monthly'!C13),"")</f>
        <v/>
      </c>
      <c r="D13" s="55" t="str">
        <f>IFERROR(IF('Investment Case Asks - Monthly'!D13="","",'Investment Case Asks - Monthly'!D13),"")</f>
        <v/>
      </c>
      <c r="E13" s="56" t="str">
        <f>IFERROR(IF('Investment Case Asks - Monthly'!E13="","",'Investment Case Asks - Monthly'!E13),"")</f>
        <v/>
      </c>
      <c r="F13" s="57" t="str">
        <f>IFERROR(IF('Investment Case Asks - Monthly'!F13="","",'Investment Case Asks - Monthly'!F13),"")</f>
        <v/>
      </c>
      <c r="G13" s="56" t="str">
        <f>IFERROR(IF('Investment Case Asks - Monthly'!G13="","",'Investment Case Asks - Monthly'!G13),"")</f>
        <v/>
      </c>
      <c r="H13" s="57" t="str">
        <f>IFERROR(IF('Investment Case Asks - Monthly'!H13="","",'Investment Case Asks - Monthly'!H13),"")</f>
        <v/>
      </c>
      <c r="I13" s="58" t="str">
        <f>IFERROR(IF('Investment Case Asks - Monthly'!I13="","",'Investment Case Asks - Monthly'!I13),"")</f>
        <v/>
      </c>
      <c r="J13" s="59" t="str">
        <f>IFERROR(IF('Investment Case Asks - Monthly'!J13="","",'Investment Case Asks - Monthly'!J13),"")</f>
        <v/>
      </c>
      <c r="K13" s="59" t="str">
        <f>IFERROR(IF('Investment Case Asks - Monthly'!K13="","",'Investment Case Asks - Monthly'!K13),"")</f>
        <v/>
      </c>
      <c r="L13" s="59" t="str">
        <f>IFERROR(IF('Investment Case Asks - Monthly'!L13="","",'Investment Case Asks - Monthly'!L13),"")</f>
        <v/>
      </c>
      <c r="M13" s="59" t="str">
        <f>IFERROR(IF('Investment Case Asks - Monthly'!M13="","",'Investment Case Asks - Monthly'!M13),"")</f>
        <v/>
      </c>
      <c r="N13" s="59" t="str">
        <f>IFERROR(IF('Investment Case Asks - Monthly'!N13="","",'Investment Case Asks - Monthly'!N13),"")</f>
        <v/>
      </c>
      <c r="O13" s="59" t="str">
        <f>IFERROR(IF('Investment Case Asks - Monthly'!O13="","",'Investment Case Asks - Monthly'!O13),"")</f>
        <v/>
      </c>
      <c r="P13" s="52" t="str">
        <f>IFERROR(IF('Investment Case Asks - Monthly'!AB13="","",'Investment Case Asks - Monthly'!AB13),"")</f>
        <v/>
      </c>
      <c r="Q13" s="52" t="str">
        <f>IFERROR(IF('Investment Case Asks - Monthly'!AO13="","",'Investment Case Asks - Monthly'!AO13),"")</f>
        <v/>
      </c>
      <c r="R13" s="52" t="str">
        <f>IFERROR(IF('Investment Case Asks - Monthly'!BB13="","",'Investment Case Asks - Monthly'!BB13),"")</f>
        <v/>
      </c>
      <c r="S13" s="57" t="str">
        <f>IFERROR(IF('Investment Case Asks - Monthly'!BC13="","",'Investment Case Asks - Monthly'!BC13),"")</f>
        <v/>
      </c>
      <c r="T13" s="30"/>
      <c r="U13" s="29"/>
      <c r="V13" s="30"/>
    </row>
    <row r="14" spans="1:24" x14ac:dyDescent="0.35">
      <c r="A14" s="55" t="str">
        <f>IFERROR(IF('Investment Case Asks - Monthly'!A14="","",'Investment Case Asks - Monthly'!A14),"")</f>
        <v/>
      </c>
      <c r="B14" s="66" t="str">
        <f>IFERROR(IF('Investment Case Asks - Monthly'!B14="","",'Investment Case Asks - Monthly'!B14),"")</f>
        <v/>
      </c>
      <c r="C14" s="55" t="str">
        <f>IFERROR(IF('Investment Case Asks - Monthly'!C14="","",'Investment Case Asks - Monthly'!C14),"")</f>
        <v/>
      </c>
      <c r="D14" s="55" t="str">
        <f>IFERROR(IF('Investment Case Asks - Monthly'!D14="","",'Investment Case Asks - Monthly'!D14),"")</f>
        <v/>
      </c>
      <c r="E14" s="56" t="str">
        <f>IFERROR(IF('Investment Case Asks - Monthly'!E14="","",'Investment Case Asks - Monthly'!E14),"")</f>
        <v/>
      </c>
      <c r="F14" s="57" t="str">
        <f>IFERROR(IF('Investment Case Asks - Monthly'!F14="","",'Investment Case Asks - Monthly'!F14),"")</f>
        <v/>
      </c>
      <c r="G14" s="56" t="str">
        <f>IFERROR(IF('Investment Case Asks - Monthly'!G14="","",'Investment Case Asks - Monthly'!G14),"")</f>
        <v/>
      </c>
      <c r="H14" s="57" t="str">
        <f>IFERROR(IF('Investment Case Asks - Monthly'!H14="","",'Investment Case Asks - Monthly'!H14),"")</f>
        <v/>
      </c>
      <c r="I14" s="58" t="str">
        <f>IFERROR(IF('Investment Case Asks - Monthly'!I14="","",'Investment Case Asks - Monthly'!I14),"")</f>
        <v/>
      </c>
      <c r="J14" s="59" t="str">
        <f>IFERROR(IF('Investment Case Asks - Monthly'!J14="","",'Investment Case Asks - Monthly'!J14),"")</f>
        <v/>
      </c>
      <c r="K14" s="59" t="str">
        <f>IFERROR(IF('Investment Case Asks - Monthly'!K14="","",'Investment Case Asks - Monthly'!K14),"")</f>
        <v/>
      </c>
      <c r="L14" s="59" t="str">
        <f>IFERROR(IF('Investment Case Asks - Monthly'!L14="","",'Investment Case Asks - Monthly'!L14),"")</f>
        <v/>
      </c>
      <c r="M14" s="59" t="str">
        <f>IFERROR(IF('Investment Case Asks - Monthly'!M14="","",'Investment Case Asks - Monthly'!M14),"")</f>
        <v/>
      </c>
      <c r="N14" s="59" t="str">
        <f>IFERROR(IF('Investment Case Asks - Monthly'!N14="","",'Investment Case Asks - Monthly'!N14),"")</f>
        <v/>
      </c>
      <c r="O14" s="59" t="str">
        <f>IFERROR(IF('Investment Case Asks - Monthly'!O14="","",'Investment Case Asks - Monthly'!O14),"")</f>
        <v/>
      </c>
      <c r="P14" s="52" t="str">
        <f>IFERROR(IF('Investment Case Asks - Monthly'!AB14="","",'Investment Case Asks - Monthly'!AB14),"")</f>
        <v/>
      </c>
      <c r="Q14" s="52" t="str">
        <f>IFERROR(IF('Investment Case Asks - Monthly'!AO14="","",'Investment Case Asks - Monthly'!AO14),"")</f>
        <v/>
      </c>
      <c r="R14" s="52" t="str">
        <f>IFERROR(IF('Investment Case Asks - Monthly'!BB14="","",'Investment Case Asks - Monthly'!BB14),"")</f>
        <v/>
      </c>
      <c r="S14" s="57" t="str">
        <f>IFERROR(IF('Investment Case Asks - Monthly'!BC14="","",'Investment Case Asks - Monthly'!BC14),"")</f>
        <v/>
      </c>
      <c r="T14" s="30"/>
      <c r="U14" s="29"/>
      <c r="V14" s="30"/>
    </row>
    <row r="15" spans="1:24" x14ac:dyDescent="0.35">
      <c r="A15" s="55" t="str">
        <f>IFERROR(IF('Investment Case Asks - Monthly'!A15="","",'Investment Case Asks - Monthly'!A15),"")</f>
        <v/>
      </c>
      <c r="B15" s="66" t="str">
        <f>IFERROR(IF('Investment Case Asks - Monthly'!B15="","",'Investment Case Asks - Monthly'!B15),"")</f>
        <v/>
      </c>
      <c r="C15" s="55" t="str">
        <f>IFERROR(IF('Investment Case Asks - Monthly'!C15="","",'Investment Case Asks - Monthly'!C15),"")</f>
        <v/>
      </c>
      <c r="D15" s="55" t="str">
        <f>IFERROR(IF('Investment Case Asks - Monthly'!D15="","",'Investment Case Asks - Monthly'!D15),"")</f>
        <v/>
      </c>
      <c r="E15" s="56" t="str">
        <f>IFERROR(IF('Investment Case Asks - Monthly'!E15="","",'Investment Case Asks - Monthly'!E15),"")</f>
        <v/>
      </c>
      <c r="F15" s="57" t="str">
        <f>IFERROR(IF('Investment Case Asks - Monthly'!F15="","",'Investment Case Asks - Monthly'!F15),"")</f>
        <v/>
      </c>
      <c r="G15" s="56" t="str">
        <f>IFERROR(IF('Investment Case Asks - Monthly'!G15="","",'Investment Case Asks - Monthly'!G15),"")</f>
        <v/>
      </c>
      <c r="H15" s="57" t="str">
        <f>IFERROR(IF('Investment Case Asks - Monthly'!H15="","",'Investment Case Asks - Monthly'!H15),"")</f>
        <v/>
      </c>
      <c r="I15" s="58" t="str">
        <f>IFERROR(IF('Investment Case Asks - Monthly'!I15="","",'Investment Case Asks - Monthly'!I15),"")</f>
        <v/>
      </c>
      <c r="J15" s="59" t="str">
        <f>IFERROR(IF('Investment Case Asks - Monthly'!J15="","",'Investment Case Asks - Monthly'!J15),"")</f>
        <v/>
      </c>
      <c r="K15" s="59" t="str">
        <f>IFERROR(IF('Investment Case Asks - Monthly'!K15="","",'Investment Case Asks - Monthly'!K15),"")</f>
        <v/>
      </c>
      <c r="L15" s="59" t="str">
        <f>IFERROR(IF('Investment Case Asks - Monthly'!L15="","",'Investment Case Asks - Monthly'!L15),"")</f>
        <v/>
      </c>
      <c r="M15" s="59" t="str">
        <f>IFERROR(IF('Investment Case Asks - Monthly'!M15="","",'Investment Case Asks - Monthly'!M15),"")</f>
        <v/>
      </c>
      <c r="N15" s="59" t="str">
        <f>IFERROR(IF('Investment Case Asks - Monthly'!N15="","",'Investment Case Asks - Monthly'!N15),"")</f>
        <v/>
      </c>
      <c r="O15" s="59" t="str">
        <f>IFERROR(IF('Investment Case Asks - Monthly'!O15="","",'Investment Case Asks - Monthly'!O15),"")</f>
        <v/>
      </c>
      <c r="P15" s="52" t="str">
        <f>IFERROR(IF('Investment Case Asks - Monthly'!AB15="","",'Investment Case Asks - Monthly'!AB15),"")</f>
        <v/>
      </c>
      <c r="Q15" s="52" t="str">
        <f>IFERROR(IF('Investment Case Asks - Monthly'!AO15="","",'Investment Case Asks - Monthly'!AO15),"")</f>
        <v/>
      </c>
      <c r="R15" s="52" t="str">
        <f>IFERROR(IF('Investment Case Asks - Monthly'!BB15="","",'Investment Case Asks - Monthly'!BB15),"")</f>
        <v/>
      </c>
      <c r="S15" s="57" t="str">
        <f>IFERROR(IF('Investment Case Asks - Monthly'!BC15="","",'Investment Case Asks - Monthly'!BC15),"")</f>
        <v/>
      </c>
      <c r="T15" s="30"/>
      <c r="U15" s="29"/>
      <c r="V15" s="30"/>
    </row>
    <row r="16" spans="1:24" x14ac:dyDescent="0.35">
      <c r="A16" s="55" t="str">
        <f>IFERROR(IF('Investment Case Asks - Monthly'!A16="","",'Investment Case Asks - Monthly'!A16),"")</f>
        <v/>
      </c>
      <c r="B16" s="66" t="str">
        <f>IFERROR(IF('Investment Case Asks - Monthly'!B16="","",'Investment Case Asks - Monthly'!B16),"")</f>
        <v/>
      </c>
      <c r="C16" s="55" t="str">
        <f>IFERROR(IF('Investment Case Asks - Monthly'!C16="","",'Investment Case Asks - Monthly'!C16),"")</f>
        <v/>
      </c>
      <c r="D16" s="55" t="str">
        <f>IFERROR(IF('Investment Case Asks - Monthly'!D16="","",'Investment Case Asks - Monthly'!D16),"")</f>
        <v/>
      </c>
      <c r="E16" s="56" t="str">
        <f>IFERROR(IF('Investment Case Asks - Monthly'!E16="","",'Investment Case Asks - Monthly'!E16),"")</f>
        <v/>
      </c>
      <c r="F16" s="57" t="str">
        <f>IFERROR(IF('Investment Case Asks - Monthly'!F16="","",'Investment Case Asks - Monthly'!F16),"")</f>
        <v/>
      </c>
      <c r="G16" s="56" t="str">
        <f>IFERROR(IF('Investment Case Asks - Monthly'!G16="","",'Investment Case Asks - Monthly'!G16),"")</f>
        <v/>
      </c>
      <c r="H16" s="57" t="str">
        <f>IFERROR(IF('Investment Case Asks - Monthly'!H16="","",'Investment Case Asks - Monthly'!H16),"")</f>
        <v/>
      </c>
      <c r="I16" s="58" t="str">
        <f>IFERROR(IF('Investment Case Asks - Monthly'!I16="","",'Investment Case Asks - Monthly'!I16),"")</f>
        <v/>
      </c>
      <c r="J16" s="59" t="str">
        <f>IFERROR(IF('Investment Case Asks - Monthly'!J16="","",'Investment Case Asks - Monthly'!J16),"")</f>
        <v/>
      </c>
      <c r="K16" s="59" t="str">
        <f>IFERROR(IF('Investment Case Asks - Monthly'!K16="","",'Investment Case Asks - Monthly'!K16),"")</f>
        <v/>
      </c>
      <c r="L16" s="59" t="str">
        <f>IFERROR(IF('Investment Case Asks - Monthly'!L16="","",'Investment Case Asks - Monthly'!L16),"")</f>
        <v/>
      </c>
      <c r="M16" s="59" t="str">
        <f>IFERROR(IF('Investment Case Asks - Monthly'!M16="","",'Investment Case Asks - Monthly'!M16),"")</f>
        <v/>
      </c>
      <c r="N16" s="59" t="str">
        <f>IFERROR(IF('Investment Case Asks - Monthly'!N16="","",'Investment Case Asks - Monthly'!N16),"")</f>
        <v/>
      </c>
      <c r="O16" s="59" t="str">
        <f>IFERROR(IF('Investment Case Asks - Monthly'!O16="","",'Investment Case Asks - Monthly'!O16),"")</f>
        <v/>
      </c>
      <c r="P16" s="52" t="str">
        <f>IFERROR(IF('Investment Case Asks - Monthly'!AB16="","",'Investment Case Asks - Monthly'!AB16),"")</f>
        <v/>
      </c>
      <c r="Q16" s="52" t="str">
        <f>IFERROR(IF('Investment Case Asks - Monthly'!AO16="","",'Investment Case Asks - Monthly'!AO16),"")</f>
        <v/>
      </c>
      <c r="R16" s="52" t="str">
        <f>IFERROR(IF('Investment Case Asks - Monthly'!BB16="","",'Investment Case Asks - Monthly'!BB16),"")</f>
        <v/>
      </c>
      <c r="S16" s="57" t="str">
        <f>IFERROR(IF('Investment Case Asks - Monthly'!BC16="","",'Investment Case Asks - Monthly'!BC16),"")</f>
        <v/>
      </c>
      <c r="T16" s="30"/>
      <c r="U16" s="29"/>
      <c r="V16" s="30"/>
    </row>
    <row r="17" spans="1:22" x14ac:dyDescent="0.35">
      <c r="A17" s="55" t="str">
        <f>IFERROR(IF('Investment Case Asks - Monthly'!A17="","",'Investment Case Asks - Monthly'!A17),"")</f>
        <v/>
      </c>
      <c r="B17" s="66" t="str">
        <f>IFERROR(IF('Investment Case Asks - Monthly'!B17="","",'Investment Case Asks - Monthly'!B17),"")</f>
        <v/>
      </c>
      <c r="C17" s="55" t="str">
        <f>IFERROR(IF('Investment Case Asks - Monthly'!C17="","",'Investment Case Asks - Monthly'!C17),"")</f>
        <v/>
      </c>
      <c r="D17" s="55" t="str">
        <f>IFERROR(IF('Investment Case Asks - Monthly'!D17="","",'Investment Case Asks - Monthly'!D17),"")</f>
        <v/>
      </c>
      <c r="E17" s="56" t="str">
        <f>IFERROR(IF('Investment Case Asks - Monthly'!E17="","",'Investment Case Asks - Monthly'!E17),"")</f>
        <v/>
      </c>
      <c r="F17" s="57" t="str">
        <f>IFERROR(IF('Investment Case Asks - Monthly'!F17="","",'Investment Case Asks - Monthly'!F17),"")</f>
        <v/>
      </c>
      <c r="G17" s="56" t="str">
        <f>IFERROR(IF('Investment Case Asks - Monthly'!G17="","",'Investment Case Asks - Monthly'!G17),"")</f>
        <v/>
      </c>
      <c r="H17" s="57" t="str">
        <f>IFERROR(IF('Investment Case Asks - Monthly'!H17="","",'Investment Case Asks - Monthly'!H17),"")</f>
        <v/>
      </c>
      <c r="I17" s="58" t="str">
        <f>IFERROR(IF('Investment Case Asks - Monthly'!I17="","",'Investment Case Asks - Monthly'!I17),"")</f>
        <v/>
      </c>
      <c r="J17" s="59" t="str">
        <f>IFERROR(IF('Investment Case Asks - Monthly'!J17="","",'Investment Case Asks - Monthly'!J17),"")</f>
        <v/>
      </c>
      <c r="K17" s="59" t="str">
        <f>IFERROR(IF('Investment Case Asks - Monthly'!K17="","",'Investment Case Asks - Monthly'!K17),"")</f>
        <v/>
      </c>
      <c r="L17" s="59" t="str">
        <f>IFERROR(IF('Investment Case Asks - Monthly'!L17="","",'Investment Case Asks - Monthly'!L17),"")</f>
        <v/>
      </c>
      <c r="M17" s="59" t="str">
        <f>IFERROR(IF('Investment Case Asks - Monthly'!M17="","",'Investment Case Asks - Monthly'!M17),"")</f>
        <v/>
      </c>
      <c r="N17" s="59" t="str">
        <f>IFERROR(IF('Investment Case Asks - Monthly'!N17="","",'Investment Case Asks - Monthly'!N17),"")</f>
        <v/>
      </c>
      <c r="O17" s="59" t="str">
        <f>IFERROR(IF('Investment Case Asks - Monthly'!O17="","",'Investment Case Asks - Monthly'!O17),"")</f>
        <v/>
      </c>
      <c r="P17" s="52" t="str">
        <f>IFERROR(IF('Investment Case Asks - Monthly'!AB17="","",'Investment Case Asks - Monthly'!AB17),"")</f>
        <v/>
      </c>
      <c r="Q17" s="52" t="str">
        <f>IFERROR(IF('Investment Case Asks - Monthly'!AO17="","",'Investment Case Asks - Monthly'!AO17),"")</f>
        <v/>
      </c>
      <c r="R17" s="52" t="str">
        <f>IFERROR(IF('Investment Case Asks - Monthly'!BB17="","",'Investment Case Asks - Monthly'!BB17),"")</f>
        <v/>
      </c>
      <c r="S17" s="57" t="str">
        <f>IFERROR(IF('Investment Case Asks - Monthly'!BC17="","",'Investment Case Asks - Monthly'!BC17),"")</f>
        <v/>
      </c>
      <c r="T17" s="30"/>
      <c r="U17" s="29"/>
      <c r="V17" s="30"/>
    </row>
    <row r="18" spans="1:22" x14ac:dyDescent="0.35">
      <c r="A18" s="55" t="str">
        <f>IFERROR(IF('Investment Case Asks - Monthly'!A18="","",'Investment Case Asks - Monthly'!A18),"")</f>
        <v/>
      </c>
      <c r="B18" s="66" t="str">
        <f>IFERROR(IF('Investment Case Asks - Monthly'!B18="","",'Investment Case Asks - Monthly'!B18),"")</f>
        <v/>
      </c>
      <c r="C18" s="55" t="str">
        <f>IFERROR(IF('Investment Case Asks - Monthly'!C18="","",'Investment Case Asks - Monthly'!C18),"")</f>
        <v/>
      </c>
      <c r="D18" s="55" t="str">
        <f>IFERROR(IF('Investment Case Asks - Monthly'!D18="","",'Investment Case Asks - Monthly'!D18),"")</f>
        <v/>
      </c>
      <c r="E18" s="56" t="str">
        <f>IFERROR(IF('Investment Case Asks - Monthly'!E18="","",'Investment Case Asks - Monthly'!E18),"")</f>
        <v/>
      </c>
      <c r="F18" s="57" t="str">
        <f>IFERROR(IF('Investment Case Asks - Monthly'!F18="","",'Investment Case Asks - Monthly'!F18),"")</f>
        <v/>
      </c>
      <c r="G18" s="56" t="str">
        <f>IFERROR(IF('Investment Case Asks - Monthly'!G18="","",'Investment Case Asks - Monthly'!G18),"")</f>
        <v/>
      </c>
      <c r="H18" s="57" t="str">
        <f>IFERROR(IF('Investment Case Asks - Monthly'!H18="","",'Investment Case Asks - Monthly'!H18),"")</f>
        <v/>
      </c>
      <c r="I18" s="58" t="str">
        <f>IFERROR(IF('Investment Case Asks - Monthly'!I18="","",'Investment Case Asks - Monthly'!I18),"")</f>
        <v/>
      </c>
      <c r="J18" s="59" t="str">
        <f>IFERROR(IF('Investment Case Asks - Monthly'!J18="","",'Investment Case Asks - Monthly'!J18),"")</f>
        <v/>
      </c>
      <c r="K18" s="59" t="str">
        <f>IFERROR(IF('Investment Case Asks - Monthly'!K18="","",'Investment Case Asks - Monthly'!K18),"")</f>
        <v/>
      </c>
      <c r="L18" s="59" t="str">
        <f>IFERROR(IF('Investment Case Asks - Monthly'!L18="","",'Investment Case Asks - Monthly'!L18),"")</f>
        <v/>
      </c>
      <c r="M18" s="59" t="str">
        <f>IFERROR(IF('Investment Case Asks - Monthly'!M18="","",'Investment Case Asks - Monthly'!M18),"")</f>
        <v/>
      </c>
      <c r="N18" s="59" t="str">
        <f>IFERROR(IF('Investment Case Asks - Monthly'!N18="","",'Investment Case Asks - Monthly'!N18),"")</f>
        <v/>
      </c>
      <c r="O18" s="59" t="str">
        <f>IFERROR(IF('Investment Case Asks - Monthly'!O18="","",'Investment Case Asks - Monthly'!O18),"")</f>
        <v/>
      </c>
      <c r="P18" s="52" t="str">
        <f>IFERROR(IF('Investment Case Asks - Monthly'!AB18="","",'Investment Case Asks - Monthly'!AB18),"")</f>
        <v/>
      </c>
      <c r="Q18" s="52" t="str">
        <f>IFERROR(IF('Investment Case Asks - Monthly'!AO18="","",'Investment Case Asks - Monthly'!AO18),"")</f>
        <v/>
      </c>
      <c r="R18" s="52" t="str">
        <f>IFERROR(IF('Investment Case Asks - Monthly'!BB18="","",'Investment Case Asks - Monthly'!BB18),"")</f>
        <v/>
      </c>
      <c r="S18" s="57" t="str">
        <f>IFERROR(IF('Investment Case Asks - Monthly'!BC18="","",'Investment Case Asks - Monthly'!BC18),"")</f>
        <v/>
      </c>
      <c r="T18" s="30"/>
      <c r="U18" s="29"/>
      <c r="V18" s="30"/>
    </row>
    <row r="19" spans="1:22" x14ac:dyDescent="0.35">
      <c r="A19" s="55" t="str">
        <f>IFERROR(IF('Investment Case Asks - Monthly'!A19="","",'Investment Case Asks - Monthly'!A19),"")</f>
        <v/>
      </c>
      <c r="B19" s="66" t="str">
        <f>IFERROR(IF('Investment Case Asks - Monthly'!B19="","",'Investment Case Asks - Monthly'!B19),"")</f>
        <v/>
      </c>
      <c r="C19" s="55" t="str">
        <f>IFERROR(IF('Investment Case Asks - Monthly'!C19="","",'Investment Case Asks - Monthly'!C19),"")</f>
        <v/>
      </c>
      <c r="D19" s="55" t="str">
        <f>IFERROR(IF('Investment Case Asks - Monthly'!D19="","",'Investment Case Asks - Monthly'!D19),"")</f>
        <v/>
      </c>
      <c r="E19" s="56" t="str">
        <f>IFERROR(IF('Investment Case Asks - Monthly'!E19="","",'Investment Case Asks - Monthly'!E19),"")</f>
        <v/>
      </c>
      <c r="F19" s="57" t="str">
        <f>IFERROR(IF('Investment Case Asks - Monthly'!F19="","",'Investment Case Asks - Monthly'!F19),"")</f>
        <v/>
      </c>
      <c r="G19" s="56" t="str">
        <f>IFERROR(IF('Investment Case Asks - Monthly'!G19="","",'Investment Case Asks - Monthly'!G19),"")</f>
        <v/>
      </c>
      <c r="H19" s="57" t="str">
        <f>IFERROR(IF('Investment Case Asks - Monthly'!H19="","",'Investment Case Asks - Monthly'!H19),"")</f>
        <v/>
      </c>
      <c r="I19" s="58" t="str">
        <f>IFERROR(IF('Investment Case Asks - Monthly'!I19="","",'Investment Case Asks - Monthly'!I19),"")</f>
        <v/>
      </c>
      <c r="J19" s="59" t="str">
        <f>IFERROR(IF('Investment Case Asks - Monthly'!J19="","",'Investment Case Asks - Monthly'!J19),"")</f>
        <v/>
      </c>
      <c r="K19" s="59" t="str">
        <f>IFERROR(IF('Investment Case Asks - Monthly'!K19="","",'Investment Case Asks - Monthly'!K19),"")</f>
        <v/>
      </c>
      <c r="L19" s="59" t="str">
        <f>IFERROR(IF('Investment Case Asks - Monthly'!L19="","",'Investment Case Asks - Monthly'!L19),"")</f>
        <v/>
      </c>
      <c r="M19" s="59" t="str">
        <f>IFERROR(IF('Investment Case Asks - Monthly'!M19="","",'Investment Case Asks - Monthly'!M19),"")</f>
        <v/>
      </c>
      <c r="N19" s="59" t="str">
        <f>IFERROR(IF('Investment Case Asks - Monthly'!N19="","",'Investment Case Asks - Monthly'!N19),"")</f>
        <v/>
      </c>
      <c r="O19" s="59" t="str">
        <f>IFERROR(IF('Investment Case Asks - Monthly'!O19="","",'Investment Case Asks - Monthly'!O19),"")</f>
        <v/>
      </c>
      <c r="P19" s="52" t="str">
        <f>IFERROR(IF('Investment Case Asks - Monthly'!AB19="","",'Investment Case Asks - Monthly'!AB19),"")</f>
        <v/>
      </c>
      <c r="Q19" s="52" t="str">
        <f>IFERROR(IF('Investment Case Asks - Monthly'!AO19="","",'Investment Case Asks - Monthly'!AO19),"")</f>
        <v/>
      </c>
      <c r="R19" s="52" t="str">
        <f>IFERROR(IF('Investment Case Asks - Monthly'!BB19="","",'Investment Case Asks - Monthly'!BB19),"")</f>
        <v/>
      </c>
      <c r="S19" s="57" t="str">
        <f>IFERROR(IF('Investment Case Asks - Monthly'!BC19="","",'Investment Case Asks - Monthly'!BC19),"")</f>
        <v/>
      </c>
      <c r="T19" s="30"/>
      <c r="U19" s="29"/>
      <c r="V19" s="30"/>
    </row>
    <row r="20" spans="1:22" x14ac:dyDescent="0.35">
      <c r="A20" s="55" t="str">
        <f>IFERROR(IF('Investment Case Asks - Monthly'!A20="","",'Investment Case Asks - Monthly'!A20),"")</f>
        <v/>
      </c>
      <c r="B20" s="66" t="str">
        <f>IFERROR(IF('Investment Case Asks - Monthly'!B20="","",'Investment Case Asks - Monthly'!B20),"")</f>
        <v/>
      </c>
      <c r="C20" s="55" t="str">
        <f>IFERROR(IF('Investment Case Asks - Monthly'!C20="","",'Investment Case Asks - Monthly'!C20),"")</f>
        <v/>
      </c>
      <c r="D20" s="55" t="str">
        <f>IFERROR(IF('Investment Case Asks - Monthly'!D20="","",'Investment Case Asks - Monthly'!D20),"")</f>
        <v/>
      </c>
      <c r="E20" s="56" t="str">
        <f>IFERROR(IF('Investment Case Asks - Monthly'!E20="","",'Investment Case Asks - Monthly'!E20),"")</f>
        <v/>
      </c>
      <c r="F20" s="57" t="str">
        <f>IFERROR(IF('Investment Case Asks - Monthly'!F20="","",'Investment Case Asks - Monthly'!F20),"")</f>
        <v/>
      </c>
      <c r="G20" s="56" t="str">
        <f>IFERROR(IF('Investment Case Asks - Monthly'!G20="","",'Investment Case Asks - Monthly'!G20),"")</f>
        <v/>
      </c>
      <c r="H20" s="57" t="str">
        <f>IFERROR(IF('Investment Case Asks - Monthly'!H20="","",'Investment Case Asks - Monthly'!H20),"")</f>
        <v/>
      </c>
      <c r="I20" s="58" t="str">
        <f>IFERROR(IF('Investment Case Asks - Monthly'!I20="","",'Investment Case Asks - Monthly'!I20),"")</f>
        <v/>
      </c>
      <c r="J20" s="59" t="str">
        <f>IFERROR(IF('Investment Case Asks - Monthly'!J20="","",'Investment Case Asks - Monthly'!J20),"")</f>
        <v/>
      </c>
      <c r="K20" s="59" t="str">
        <f>IFERROR(IF('Investment Case Asks - Monthly'!K20="","",'Investment Case Asks - Monthly'!K20),"")</f>
        <v/>
      </c>
      <c r="L20" s="59" t="str">
        <f>IFERROR(IF('Investment Case Asks - Monthly'!L20="","",'Investment Case Asks - Monthly'!L20),"")</f>
        <v/>
      </c>
      <c r="M20" s="59" t="str">
        <f>IFERROR(IF('Investment Case Asks - Monthly'!M20="","",'Investment Case Asks - Monthly'!M20),"")</f>
        <v/>
      </c>
      <c r="N20" s="59" t="str">
        <f>IFERROR(IF('Investment Case Asks - Monthly'!N20="","",'Investment Case Asks - Monthly'!N20),"")</f>
        <v/>
      </c>
      <c r="O20" s="59" t="str">
        <f>IFERROR(IF('Investment Case Asks - Monthly'!O20="","",'Investment Case Asks - Monthly'!O20),"")</f>
        <v/>
      </c>
      <c r="P20" s="52" t="str">
        <f>IFERROR(IF('Investment Case Asks - Monthly'!AB20="","",'Investment Case Asks - Monthly'!AB20),"")</f>
        <v/>
      </c>
      <c r="Q20" s="52" t="str">
        <f>IFERROR(IF('Investment Case Asks - Monthly'!AO20="","",'Investment Case Asks - Monthly'!AO20),"")</f>
        <v/>
      </c>
      <c r="R20" s="52" t="str">
        <f>IFERROR(IF('Investment Case Asks - Monthly'!BB20="","",'Investment Case Asks - Monthly'!BB20),"")</f>
        <v/>
      </c>
      <c r="S20" s="57" t="str">
        <f>IFERROR(IF('Investment Case Asks - Monthly'!BC20="","",'Investment Case Asks - Monthly'!BC20),"")</f>
        <v/>
      </c>
      <c r="T20" s="30"/>
      <c r="U20" s="29"/>
      <c r="V20" s="30"/>
    </row>
    <row r="21" spans="1:22" x14ac:dyDescent="0.35">
      <c r="A21" s="29"/>
      <c r="B21" s="29"/>
      <c r="C21" s="29"/>
      <c r="D21" s="29"/>
      <c r="E21" s="30"/>
      <c r="F21" s="30"/>
      <c r="G21" s="30"/>
      <c r="H21" s="30"/>
      <c r="I21" s="30"/>
      <c r="J21" s="30"/>
      <c r="K21" s="30"/>
      <c r="L21" s="30"/>
      <c r="M21" s="29"/>
      <c r="N21" s="29"/>
      <c r="O21" s="29"/>
      <c r="P21" s="29"/>
      <c r="Q21" s="29"/>
      <c r="R21" s="30"/>
      <c r="S21" s="30"/>
      <c r="T21" s="29"/>
      <c r="U21" s="30"/>
    </row>
    <row r="22" spans="1:22" ht="15" customHeight="1" thickBot="1" x14ac:dyDescent="0.4">
      <c r="A22" s="37" t="s">
        <v>57</v>
      </c>
      <c r="B22" s="37"/>
      <c r="C22" s="37"/>
      <c r="D22" s="37"/>
      <c r="E22" s="38"/>
      <c r="F22" s="39"/>
      <c r="G22" s="38"/>
      <c r="H22" s="38">
        <f>SUM(H5:H20)</f>
        <v>0</v>
      </c>
      <c r="I22" s="38"/>
      <c r="J22" s="38">
        <f t="shared" ref="J22:R22" si="0">SUM(J5:J20)</f>
        <v>0</v>
      </c>
      <c r="K22" s="38">
        <f t="shared" si="0"/>
        <v>0</v>
      </c>
      <c r="L22" s="38">
        <f t="shared" si="0"/>
        <v>0</v>
      </c>
      <c r="M22" s="38">
        <f t="shared" si="0"/>
        <v>0</v>
      </c>
      <c r="N22" s="38">
        <f t="shared" si="0"/>
        <v>0</v>
      </c>
      <c r="O22" s="38">
        <f t="shared" si="0"/>
        <v>0</v>
      </c>
      <c r="P22" s="38">
        <f t="shared" si="0"/>
        <v>0</v>
      </c>
      <c r="Q22" s="38">
        <f t="shared" si="0"/>
        <v>0</v>
      </c>
      <c r="R22" s="38">
        <f t="shared" si="0"/>
        <v>0</v>
      </c>
      <c r="S22" s="38"/>
      <c r="T22" s="29"/>
      <c r="U22" s="29"/>
    </row>
    <row r="23" spans="1:22" ht="15" customHeight="1" thickTop="1" x14ac:dyDescent="0.35">
      <c r="A23" s="29"/>
      <c r="B23" s="29"/>
      <c r="C23" s="29"/>
      <c r="D23" s="29"/>
      <c r="E23" s="30"/>
      <c r="F23" s="30"/>
      <c r="G23" s="30"/>
      <c r="H23" s="30"/>
      <c r="I23" s="30"/>
      <c r="J23" s="30"/>
      <c r="K23" s="30"/>
      <c r="L23" s="30"/>
      <c r="M23" s="29"/>
      <c r="N23" s="29"/>
      <c r="O23" s="29"/>
      <c r="P23" s="29"/>
      <c r="Q23" s="29"/>
      <c r="R23" s="29"/>
      <c r="S23" s="30"/>
      <c r="T23" s="29"/>
      <c r="U23" s="29"/>
    </row>
    <row r="24" spans="1:22" x14ac:dyDescent="0.35">
      <c r="A24" s="29"/>
      <c r="B24" s="29"/>
      <c r="C24" s="29"/>
      <c r="D24" s="29"/>
      <c r="E24" s="30"/>
      <c r="F24" s="30"/>
      <c r="G24" s="30"/>
      <c r="H24" s="30"/>
      <c r="I24" s="30"/>
      <c r="J24" s="30"/>
      <c r="K24" s="30"/>
      <c r="L24" s="30"/>
      <c r="M24" s="29"/>
      <c r="N24" s="29"/>
      <c r="O24" s="29"/>
      <c r="P24" s="29"/>
      <c r="Q24" s="29"/>
      <c r="R24" s="29"/>
      <c r="S24" s="30"/>
      <c r="T24" s="29"/>
      <c r="U24" s="29"/>
    </row>
    <row r="25" spans="1:22" x14ac:dyDescent="0.35">
      <c r="A25" s="29"/>
      <c r="B25" s="29"/>
      <c r="C25" s="29"/>
      <c r="D25" s="29"/>
      <c r="E25" s="30"/>
      <c r="F25" s="30"/>
      <c r="G25" s="29"/>
      <c r="H25" s="30"/>
      <c r="I25" s="30"/>
      <c r="J25" s="30"/>
      <c r="K25" s="30"/>
      <c r="L25" s="30"/>
      <c r="M25" s="29"/>
      <c r="N25" s="29"/>
      <c r="O25" s="29"/>
      <c r="P25" s="29"/>
      <c r="Q25" s="29"/>
      <c r="R25" s="29"/>
      <c r="S25" s="29"/>
      <c r="T25" s="29"/>
      <c r="U25" s="29"/>
    </row>
    <row r="26" spans="1:22" s="5" customFormat="1" x14ac:dyDescent="0.35">
      <c r="A26" s="69" t="s">
        <v>58</v>
      </c>
      <c r="B26" s="69"/>
      <c r="C26" s="69"/>
      <c r="D26" s="69"/>
      <c r="E26" s="69"/>
      <c r="F26" s="69"/>
      <c r="G26" s="69"/>
      <c r="H26" s="69"/>
      <c r="I26" s="30"/>
      <c r="J26" s="30"/>
      <c r="K26" s="30"/>
      <c r="L26" s="29"/>
      <c r="M26" s="29"/>
      <c r="N26" s="29"/>
      <c r="O26" s="29"/>
      <c r="P26" s="29"/>
      <c r="Q26" s="29"/>
      <c r="R26" s="30"/>
      <c r="S26" s="32"/>
      <c r="T26" s="32"/>
      <c r="U26" s="32"/>
    </row>
    <row r="27" spans="1:22" x14ac:dyDescent="0.35">
      <c r="A27" s="31" t="s">
        <v>59</v>
      </c>
      <c r="B27" s="31" t="s">
        <v>168</v>
      </c>
      <c r="C27" s="31" t="s">
        <v>60</v>
      </c>
      <c r="D27" s="31" t="s">
        <v>61</v>
      </c>
      <c r="E27" s="31" t="s">
        <v>37</v>
      </c>
      <c r="F27" s="31" t="s">
        <v>38</v>
      </c>
      <c r="G27" s="31" t="s">
        <v>39</v>
      </c>
      <c r="H27" s="31" t="s">
        <v>52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29"/>
      <c r="U27" s="29"/>
      <c r="V27" s="29"/>
    </row>
    <row r="28" spans="1:22" x14ac:dyDescent="0.35">
      <c r="A28" s="55" t="str">
        <f>IFERROR(IF('Investment Case Asks - Monthly'!A28="","",'Investment Case Asks - Monthly'!A28),"")</f>
        <v/>
      </c>
      <c r="B28" s="66" t="str">
        <f>IFERROR(IF('Investment Case Asks - Monthly'!B28="","",'Investment Case Asks - Monthly'!B28),"")</f>
        <v/>
      </c>
      <c r="C28" s="55" t="str">
        <f>IFERROR(IF('Investment Case Asks - Monthly'!C28="","",'Investment Case Asks - Monthly'!C28),"")</f>
        <v/>
      </c>
      <c r="D28" s="55" t="str">
        <f>IFERROR(IF('Investment Case Asks - Monthly'!D28="","",'Investment Case Asks - Monthly'!D28),"")</f>
        <v/>
      </c>
      <c r="E28" s="33" t="str">
        <f>IFERROR(IF('Investment Case Asks - Monthly'!R28="","",'Investment Case Asks - Monthly'!R28),"")</f>
        <v/>
      </c>
      <c r="F28" s="57" t="str">
        <f>IFERROR(IF('Investment Case Asks - Monthly'!AE28="","",'Investment Case Asks - Monthly'!AE28),"")</f>
        <v/>
      </c>
      <c r="G28" s="57" t="str">
        <f>IFERROR(IF('Investment Case Asks - Monthly'!AR28="","",'Investment Case Asks - Monthly'!AR28),"")</f>
        <v/>
      </c>
      <c r="H28" s="57" t="str">
        <f>IFERROR(IF('Investment Case Asks - Monthly'!AS28="","",'Investment Case Asks - Monthly'!AS28),"")</f>
        <v/>
      </c>
      <c r="I28" s="29"/>
      <c r="J28" s="30"/>
      <c r="K28" s="30"/>
      <c r="L28" s="30"/>
      <c r="M28" s="29"/>
      <c r="N28" s="29"/>
      <c r="O28" s="29"/>
      <c r="P28" s="29"/>
      <c r="Q28" s="29"/>
      <c r="R28" s="29"/>
      <c r="S28" s="30"/>
      <c r="T28" s="29"/>
      <c r="U28" s="29"/>
      <c r="V28" s="29"/>
    </row>
    <row r="29" spans="1:22" x14ac:dyDescent="0.35">
      <c r="A29" s="55" t="str">
        <f>IFERROR(IF('Investment Case Asks - Monthly'!A29="","",'Investment Case Asks - Monthly'!A29),"")</f>
        <v/>
      </c>
      <c r="B29" s="66" t="str">
        <f>IFERROR(IF('Investment Case Asks - Monthly'!B29="","",'Investment Case Asks - Monthly'!B29),"")</f>
        <v/>
      </c>
      <c r="C29" s="55" t="str">
        <f>IFERROR(IF('Investment Case Asks - Monthly'!C29="","",'Investment Case Asks - Monthly'!C29),"")</f>
        <v/>
      </c>
      <c r="D29" s="55" t="str">
        <f>IFERROR(IF('Investment Case Asks - Monthly'!D29="","",'Investment Case Asks - Monthly'!D29),"")</f>
        <v/>
      </c>
      <c r="E29" s="33" t="str">
        <f>IFERROR(IF('Investment Case Asks - Monthly'!R29="","",'Investment Case Asks - Monthly'!R29),"")</f>
        <v/>
      </c>
      <c r="F29" s="57" t="str">
        <f>IFERROR(IF('Investment Case Asks - Monthly'!AE29="","",'Investment Case Asks - Monthly'!AE29),"")</f>
        <v/>
      </c>
      <c r="G29" s="61" t="str">
        <f>IFERROR(IF('Investment Case Asks - Monthly'!AR29="","",'Investment Case Asks - Monthly'!AR29),"")</f>
        <v/>
      </c>
      <c r="H29" s="61" t="str">
        <f>IFERROR(IF('Investment Case Asks - Monthly'!AS29="","",'Investment Case Asks - Monthly'!AS29),"")</f>
        <v/>
      </c>
      <c r="I29" s="29"/>
      <c r="J29" s="30"/>
      <c r="K29" s="30"/>
      <c r="L29" s="30"/>
      <c r="M29" s="29"/>
      <c r="N29" s="29"/>
      <c r="O29" s="29"/>
      <c r="P29" s="29"/>
      <c r="Q29" s="29"/>
      <c r="R29" s="29"/>
      <c r="S29" s="30"/>
      <c r="T29" s="29"/>
      <c r="U29" s="29"/>
      <c r="V29" s="29"/>
    </row>
    <row r="30" spans="1:22" x14ac:dyDescent="0.35">
      <c r="A30" s="55" t="str">
        <f>IFERROR(IF('Investment Case Asks - Monthly'!A30="","",'Investment Case Asks - Monthly'!A30),"")</f>
        <v/>
      </c>
      <c r="B30" s="66" t="str">
        <f>IFERROR(IF('Investment Case Asks - Monthly'!B30="","",'Investment Case Asks - Monthly'!B30),"")</f>
        <v/>
      </c>
      <c r="C30" s="55" t="str">
        <f>IFERROR(IF('Investment Case Asks - Monthly'!C30="","",'Investment Case Asks - Monthly'!C30),"")</f>
        <v/>
      </c>
      <c r="D30" s="55" t="str">
        <f>IFERROR(IF('Investment Case Asks - Monthly'!D30="","",'Investment Case Asks - Monthly'!D30),"")</f>
        <v/>
      </c>
      <c r="E30" s="33" t="str">
        <f>IFERROR(IF('Investment Case Asks - Monthly'!R30="","",'Investment Case Asks - Monthly'!R30),"")</f>
        <v/>
      </c>
      <c r="F30" s="57" t="str">
        <f>IFERROR(IF('Investment Case Asks - Monthly'!AE30="","",'Investment Case Asks - Monthly'!AE30),"")</f>
        <v/>
      </c>
      <c r="G30" s="61" t="str">
        <f>IFERROR(IF('Investment Case Asks - Monthly'!AR30="","",'Investment Case Asks - Monthly'!AR30),"")</f>
        <v/>
      </c>
      <c r="H30" s="61" t="str">
        <f>IFERROR(IF('Investment Case Asks - Monthly'!AS30="","",'Investment Case Asks - Monthly'!AS30),"")</f>
        <v/>
      </c>
      <c r="I30" s="29"/>
      <c r="J30" s="30"/>
      <c r="K30" s="30"/>
      <c r="L30" s="30"/>
      <c r="M30" s="29"/>
      <c r="N30" s="29"/>
      <c r="O30" s="29"/>
      <c r="P30" s="29"/>
      <c r="Q30" s="29"/>
      <c r="R30" s="29"/>
      <c r="S30" s="30"/>
      <c r="T30" s="29"/>
      <c r="U30" s="29"/>
      <c r="V30" s="29"/>
    </row>
    <row r="31" spans="1:22" x14ac:dyDescent="0.35">
      <c r="A31" s="55" t="str">
        <f>IFERROR(IF('Investment Case Asks - Monthly'!A31="","",'Investment Case Asks - Monthly'!A31),"")</f>
        <v/>
      </c>
      <c r="B31" s="66" t="str">
        <f>IFERROR(IF('Investment Case Asks - Monthly'!B31="","",'Investment Case Asks - Monthly'!B31),"")</f>
        <v/>
      </c>
      <c r="C31" s="55" t="str">
        <f>IFERROR(IF('Investment Case Asks - Monthly'!C31="","",'Investment Case Asks - Monthly'!C31),"")</f>
        <v/>
      </c>
      <c r="D31" s="55" t="str">
        <f>IFERROR(IF('Investment Case Asks - Monthly'!D31="","",'Investment Case Asks - Monthly'!D31),"")</f>
        <v/>
      </c>
      <c r="E31" s="33" t="str">
        <f>IFERROR(IF('Investment Case Asks - Monthly'!R31="","",'Investment Case Asks - Monthly'!R31),"")</f>
        <v/>
      </c>
      <c r="F31" s="57" t="str">
        <f>IFERROR(IF('Investment Case Asks - Monthly'!AE31="","",'Investment Case Asks - Monthly'!AE31),"")</f>
        <v/>
      </c>
      <c r="G31" s="61" t="str">
        <f>IFERROR(IF('Investment Case Asks - Monthly'!AR31="","",'Investment Case Asks - Monthly'!AR31),"")</f>
        <v/>
      </c>
      <c r="H31" s="61" t="str">
        <f>IFERROR(IF('Investment Case Asks - Monthly'!AS31="","",'Investment Case Asks - Monthly'!AS31),"")</f>
        <v/>
      </c>
      <c r="I31" s="29"/>
      <c r="J31" s="30"/>
      <c r="K31" s="30"/>
      <c r="L31" s="30"/>
      <c r="M31" s="29"/>
      <c r="N31" s="29"/>
      <c r="O31" s="29"/>
      <c r="P31" s="29"/>
      <c r="Q31" s="29"/>
      <c r="R31" s="29"/>
      <c r="S31" s="30"/>
      <c r="T31" s="29"/>
      <c r="U31" s="29"/>
      <c r="V31" s="29"/>
    </row>
    <row r="32" spans="1:22" x14ac:dyDescent="0.35">
      <c r="A32" s="55" t="str">
        <f>IFERROR(IF('Investment Case Asks - Monthly'!A32="","",'Investment Case Asks - Monthly'!A32),"")</f>
        <v/>
      </c>
      <c r="B32" s="66" t="str">
        <f>IFERROR(IF('Investment Case Asks - Monthly'!B32="","",'Investment Case Asks - Monthly'!B32),"")</f>
        <v/>
      </c>
      <c r="C32" s="55" t="str">
        <f>IFERROR(IF('Investment Case Asks - Monthly'!C32="","",'Investment Case Asks - Monthly'!C32),"")</f>
        <v/>
      </c>
      <c r="D32" s="55" t="str">
        <f>IFERROR(IF('Investment Case Asks - Monthly'!D32="","",'Investment Case Asks - Monthly'!D32),"")</f>
        <v/>
      </c>
      <c r="E32" s="33" t="str">
        <f>IFERROR(IF('Investment Case Asks - Monthly'!R32="","",'Investment Case Asks - Monthly'!R32),"")</f>
        <v/>
      </c>
      <c r="F32" s="57" t="str">
        <f>IFERROR(IF('Investment Case Asks - Monthly'!AE32="","",'Investment Case Asks - Monthly'!AE32),"")</f>
        <v/>
      </c>
      <c r="G32" s="61" t="str">
        <f>IFERROR(IF('Investment Case Asks - Monthly'!AR32="","",'Investment Case Asks - Monthly'!AR32),"")</f>
        <v/>
      </c>
      <c r="H32" s="61" t="str">
        <f>IFERROR(IF('Investment Case Asks - Monthly'!AS32="","",'Investment Case Asks - Monthly'!AS32),"")</f>
        <v/>
      </c>
      <c r="I32" s="29"/>
      <c r="J32" s="30"/>
      <c r="K32" s="30"/>
      <c r="L32" s="30"/>
      <c r="M32" s="29"/>
      <c r="N32" s="29"/>
      <c r="O32" s="29"/>
      <c r="P32" s="29"/>
      <c r="Q32" s="29"/>
      <c r="R32" s="29"/>
      <c r="S32" s="30"/>
      <c r="T32" s="29"/>
      <c r="U32" s="29"/>
      <c r="V32" s="29"/>
    </row>
    <row r="33" spans="1:22" x14ac:dyDescent="0.35">
      <c r="A33" s="55" t="str">
        <f>IFERROR(IF('Investment Case Asks - Monthly'!A33="","",'Investment Case Asks - Monthly'!A33),"")</f>
        <v/>
      </c>
      <c r="B33" s="66" t="str">
        <f>IFERROR(IF('Investment Case Asks - Monthly'!B33="","",'Investment Case Asks - Monthly'!B33),"")</f>
        <v/>
      </c>
      <c r="C33" s="55" t="str">
        <f>IFERROR(IF('Investment Case Asks - Monthly'!C33="","",'Investment Case Asks - Monthly'!C33),"")</f>
        <v/>
      </c>
      <c r="D33" s="55" t="str">
        <f>IFERROR(IF('Investment Case Asks - Monthly'!D33="","",'Investment Case Asks - Monthly'!D33),"")</f>
        <v/>
      </c>
      <c r="E33" s="33" t="str">
        <f>IFERROR(IF('Investment Case Asks - Monthly'!R33="","",'Investment Case Asks - Monthly'!R33),"")</f>
        <v/>
      </c>
      <c r="F33" s="57" t="str">
        <f>IFERROR(IF('Investment Case Asks - Monthly'!AE33="","",'Investment Case Asks - Monthly'!AE33),"")</f>
        <v/>
      </c>
      <c r="G33" s="61" t="str">
        <f>IFERROR(IF('Investment Case Asks - Monthly'!AR33="","",'Investment Case Asks - Monthly'!AR33),"")</f>
        <v/>
      </c>
      <c r="H33" s="61" t="str">
        <f>IFERROR(IF('Investment Case Asks - Monthly'!AS33="","",'Investment Case Asks - Monthly'!AS33),"")</f>
        <v/>
      </c>
      <c r="I33" s="29"/>
      <c r="J33" s="30"/>
      <c r="K33" s="30"/>
      <c r="L33" s="30"/>
      <c r="M33" s="29"/>
      <c r="N33" s="29"/>
      <c r="O33" s="29"/>
      <c r="P33" s="29"/>
      <c r="Q33" s="29"/>
      <c r="R33" s="29"/>
      <c r="S33" s="30"/>
      <c r="T33" s="29"/>
      <c r="U33" s="29"/>
      <c r="V33" s="29"/>
    </row>
    <row r="34" spans="1:22" x14ac:dyDescent="0.35">
      <c r="A34" s="55" t="str">
        <f>IFERROR(IF('Investment Case Asks - Monthly'!A34="","",'Investment Case Asks - Monthly'!A34),"")</f>
        <v/>
      </c>
      <c r="B34" s="66" t="str">
        <f>IFERROR(IF('Investment Case Asks - Monthly'!B34="","",'Investment Case Asks - Monthly'!B34),"")</f>
        <v/>
      </c>
      <c r="C34" s="55" t="str">
        <f>IFERROR(IF('Investment Case Asks - Monthly'!C34="","",'Investment Case Asks - Monthly'!C34),"")</f>
        <v/>
      </c>
      <c r="D34" s="55" t="str">
        <f>IFERROR(IF('Investment Case Asks - Monthly'!D34="","",'Investment Case Asks - Monthly'!D34),"")</f>
        <v/>
      </c>
      <c r="E34" s="33" t="str">
        <f>IFERROR(IF('Investment Case Asks - Monthly'!R34="","",'Investment Case Asks - Monthly'!R34),"")</f>
        <v/>
      </c>
      <c r="F34" s="57" t="str">
        <f>IFERROR(IF('Investment Case Asks - Monthly'!AE34="","",'Investment Case Asks - Monthly'!AE34),"")</f>
        <v/>
      </c>
      <c r="G34" s="61" t="str">
        <f>IFERROR(IF('Investment Case Asks - Monthly'!AR34="","",'Investment Case Asks - Monthly'!AR34),"")</f>
        <v/>
      </c>
      <c r="H34" s="61" t="str">
        <f>IFERROR(IF('Investment Case Asks - Monthly'!AS34="","",'Investment Case Asks - Monthly'!AS34),"")</f>
        <v/>
      </c>
      <c r="I34" s="29"/>
      <c r="J34" s="30"/>
      <c r="K34" s="30"/>
      <c r="L34" s="30"/>
      <c r="M34" s="29"/>
      <c r="N34" s="29"/>
      <c r="O34" s="29"/>
      <c r="P34" s="29"/>
      <c r="Q34" s="29"/>
      <c r="R34" s="29"/>
      <c r="S34" s="30"/>
      <c r="T34" s="29"/>
      <c r="U34" s="29"/>
      <c r="V34" s="29"/>
    </row>
    <row r="35" spans="1:22" x14ac:dyDescent="0.35">
      <c r="A35" s="55" t="str">
        <f>IFERROR(IF('Investment Case Asks - Monthly'!A35="","",'Investment Case Asks - Monthly'!A35),"")</f>
        <v/>
      </c>
      <c r="B35" s="66" t="str">
        <f>IFERROR(IF('Investment Case Asks - Monthly'!B35="","",'Investment Case Asks - Monthly'!B35),"")</f>
        <v/>
      </c>
      <c r="C35" s="55" t="str">
        <f>IFERROR(IF('Investment Case Asks - Monthly'!C35="","",'Investment Case Asks - Monthly'!C35),"")</f>
        <v/>
      </c>
      <c r="D35" s="55" t="str">
        <f>IFERROR(IF('Investment Case Asks - Monthly'!D35="","",'Investment Case Asks - Monthly'!D35),"")</f>
        <v/>
      </c>
      <c r="E35" s="33" t="str">
        <f>IFERROR(IF('Investment Case Asks - Monthly'!R35="","",'Investment Case Asks - Monthly'!R35),"")</f>
        <v/>
      </c>
      <c r="F35" s="57" t="str">
        <f>IFERROR(IF('Investment Case Asks - Monthly'!AE35="","",'Investment Case Asks - Monthly'!AE35),"")</f>
        <v/>
      </c>
      <c r="G35" s="61" t="str">
        <f>IFERROR(IF('Investment Case Asks - Monthly'!AR35="","",'Investment Case Asks - Monthly'!AR35),"")</f>
        <v/>
      </c>
      <c r="H35" s="61" t="str">
        <f>IFERROR(IF('Investment Case Asks - Monthly'!AS35="","",'Investment Case Asks - Monthly'!AS35),"")</f>
        <v/>
      </c>
      <c r="I35" s="29"/>
      <c r="J35" s="30"/>
      <c r="K35" s="30"/>
      <c r="L35" s="30"/>
      <c r="M35" s="29"/>
      <c r="N35" s="29"/>
      <c r="O35" s="29"/>
      <c r="P35" s="29"/>
      <c r="Q35" s="29"/>
      <c r="R35" s="29"/>
      <c r="S35" s="30"/>
      <c r="T35" s="29"/>
      <c r="U35" s="29"/>
      <c r="V35" s="29"/>
    </row>
    <row r="36" spans="1:22" x14ac:dyDescent="0.35">
      <c r="A36" s="55" t="str">
        <f>IFERROR(IF('Investment Case Asks - Monthly'!A36="","",'Investment Case Asks - Monthly'!A36),"")</f>
        <v/>
      </c>
      <c r="B36" s="66" t="str">
        <f>IFERROR(IF('Investment Case Asks - Monthly'!B36="","",'Investment Case Asks - Monthly'!B36),"")</f>
        <v/>
      </c>
      <c r="C36" s="55" t="str">
        <f>IFERROR(IF('Investment Case Asks - Monthly'!C36="","",'Investment Case Asks - Monthly'!C36),"")</f>
        <v/>
      </c>
      <c r="D36" s="55" t="str">
        <f>IFERROR(IF('Investment Case Asks - Monthly'!D36="","",'Investment Case Asks - Monthly'!D36),"")</f>
        <v/>
      </c>
      <c r="E36" s="33" t="str">
        <f>IFERROR(IF('Investment Case Asks - Monthly'!R36="","",'Investment Case Asks - Monthly'!R36),"")</f>
        <v/>
      </c>
      <c r="F36" s="57" t="str">
        <f>IFERROR(IF('Investment Case Asks - Monthly'!AE36="","",'Investment Case Asks - Monthly'!AE36),"")</f>
        <v/>
      </c>
      <c r="G36" s="61" t="str">
        <f>IFERROR(IF('Investment Case Asks - Monthly'!AR36="","",'Investment Case Asks - Monthly'!AR36),"")</f>
        <v/>
      </c>
      <c r="H36" s="61" t="str">
        <f>IFERROR(IF('Investment Case Asks - Monthly'!AS36="","",'Investment Case Asks - Monthly'!AS36),"")</f>
        <v/>
      </c>
      <c r="I36" s="29"/>
      <c r="J36" s="30"/>
      <c r="K36" s="30"/>
      <c r="L36" s="30"/>
      <c r="M36" s="29"/>
      <c r="N36" s="29"/>
      <c r="O36" s="29"/>
      <c r="P36" s="29"/>
      <c r="Q36" s="29"/>
      <c r="R36" s="29"/>
      <c r="S36" s="30"/>
      <c r="T36" s="29"/>
      <c r="U36" s="29"/>
      <c r="V36" s="29"/>
    </row>
    <row r="37" spans="1:22" x14ac:dyDescent="0.35">
      <c r="A37" s="55" t="str">
        <f>IFERROR(IF('Investment Case Asks - Monthly'!A37="","",'Investment Case Asks - Monthly'!A37),"")</f>
        <v/>
      </c>
      <c r="B37" s="66" t="str">
        <f>IFERROR(IF('Investment Case Asks - Monthly'!B37="","",'Investment Case Asks - Monthly'!B37),"")</f>
        <v/>
      </c>
      <c r="C37" s="55" t="str">
        <f>IFERROR(IF('Investment Case Asks - Monthly'!C37="","",'Investment Case Asks - Monthly'!C37),"")</f>
        <v/>
      </c>
      <c r="D37" s="55" t="str">
        <f>IFERROR(IF('Investment Case Asks - Monthly'!D37="","",'Investment Case Asks - Monthly'!D37),"")</f>
        <v/>
      </c>
      <c r="E37" s="33" t="str">
        <f>IFERROR(IF('Investment Case Asks - Monthly'!R37="","",'Investment Case Asks - Monthly'!R37),"")</f>
        <v/>
      </c>
      <c r="F37" s="57" t="str">
        <f>IFERROR(IF('Investment Case Asks - Monthly'!AE37="","",'Investment Case Asks - Monthly'!AE37),"")</f>
        <v/>
      </c>
      <c r="G37" s="61" t="str">
        <f>IFERROR(IF('Investment Case Asks - Monthly'!AR37="","",'Investment Case Asks - Monthly'!AR37),"")</f>
        <v/>
      </c>
      <c r="H37" s="61" t="str">
        <f>IFERROR(IF('Investment Case Asks - Monthly'!AS37="","",'Investment Case Asks - Monthly'!AS37),"")</f>
        <v/>
      </c>
      <c r="I37" s="29"/>
      <c r="J37" s="30"/>
      <c r="K37" s="30"/>
      <c r="L37" s="30"/>
      <c r="M37" s="29"/>
      <c r="N37" s="29"/>
      <c r="O37" s="29"/>
      <c r="P37" s="29"/>
      <c r="Q37" s="29"/>
      <c r="R37" s="29"/>
      <c r="S37" s="30"/>
      <c r="T37" s="29"/>
      <c r="U37" s="29"/>
      <c r="V37" s="29"/>
    </row>
    <row r="38" spans="1:22" x14ac:dyDescent="0.35">
      <c r="A38" s="55" t="str">
        <f>IFERROR(IF('Investment Case Asks - Monthly'!A38="","",'Investment Case Asks - Monthly'!A38),"")</f>
        <v/>
      </c>
      <c r="B38" s="66" t="str">
        <f>IFERROR(IF('Investment Case Asks - Monthly'!B38="","",'Investment Case Asks - Monthly'!B38),"")</f>
        <v/>
      </c>
      <c r="C38" s="55" t="str">
        <f>IFERROR(IF('Investment Case Asks - Monthly'!C38="","",'Investment Case Asks - Monthly'!C38),"")</f>
        <v/>
      </c>
      <c r="D38" s="55" t="str">
        <f>IFERROR(IF('Investment Case Asks - Monthly'!D38="","",'Investment Case Asks - Monthly'!D38),"")</f>
        <v/>
      </c>
      <c r="E38" s="33" t="str">
        <f>IFERROR(IF('Investment Case Asks - Monthly'!R38="","",'Investment Case Asks - Monthly'!R38),"")</f>
        <v/>
      </c>
      <c r="F38" s="57" t="str">
        <f>IFERROR(IF('Investment Case Asks - Monthly'!AE38="","",'Investment Case Asks - Monthly'!AE38),"")</f>
        <v/>
      </c>
      <c r="G38" s="61" t="str">
        <f>IFERROR(IF('Investment Case Asks - Monthly'!AR38="","",'Investment Case Asks - Monthly'!AR38),"")</f>
        <v/>
      </c>
      <c r="H38" s="61" t="str">
        <f>IFERROR(IF('Investment Case Asks - Monthly'!AS38="","",'Investment Case Asks - Monthly'!AS38),"")</f>
        <v/>
      </c>
      <c r="I38" s="29"/>
      <c r="J38" s="30"/>
      <c r="K38" s="30"/>
      <c r="L38" s="30"/>
      <c r="M38" s="29"/>
      <c r="N38" s="29"/>
      <c r="O38" s="29"/>
      <c r="P38" s="29"/>
      <c r="Q38" s="29"/>
      <c r="R38" s="29"/>
      <c r="S38" s="30"/>
      <c r="T38" s="29"/>
      <c r="U38" s="29"/>
      <c r="V38" s="29"/>
    </row>
    <row r="39" spans="1:22" x14ac:dyDescent="0.35">
      <c r="A39" s="55" t="str">
        <f>IFERROR(IF('Investment Case Asks - Monthly'!A39="","",'Investment Case Asks - Monthly'!A39),"")</f>
        <v/>
      </c>
      <c r="B39" s="66" t="str">
        <f>IFERROR(IF('Investment Case Asks - Monthly'!B39="","",'Investment Case Asks - Monthly'!B39),"")</f>
        <v/>
      </c>
      <c r="C39" s="55" t="str">
        <f>IFERROR(IF('Investment Case Asks - Monthly'!C39="","",'Investment Case Asks - Monthly'!C39),"")</f>
        <v/>
      </c>
      <c r="D39" s="55" t="str">
        <f>IFERROR(IF('Investment Case Asks - Monthly'!D39="","",'Investment Case Asks - Monthly'!D39),"")</f>
        <v/>
      </c>
      <c r="E39" s="33" t="str">
        <f>IFERROR(IF('Investment Case Asks - Monthly'!R39="","",'Investment Case Asks - Monthly'!R39),"")</f>
        <v/>
      </c>
      <c r="F39" s="57" t="str">
        <f>IFERROR(IF('Investment Case Asks - Monthly'!AE39="","",'Investment Case Asks - Monthly'!AE39),"")</f>
        <v/>
      </c>
      <c r="G39" s="61" t="str">
        <f>IFERROR(IF('Investment Case Asks - Monthly'!AR39="","",'Investment Case Asks - Monthly'!AR39),"")</f>
        <v/>
      </c>
      <c r="H39" s="61" t="str">
        <f>IFERROR(IF('Investment Case Asks - Monthly'!AS39="","",'Investment Case Asks - Monthly'!AS39),"")</f>
        <v/>
      </c>
      <c r="I39" s="29"/>
      <c r="J39" s="30"/>
      <c r="K39" s="30"/>
      <c r="L39" s="30"/>
      <c r="M39" s="29"/>
      <c r="N39" s="29"/>
      <c r="O39" s="29"/>
      <c r="P39" s="29"/>
      <c r="Q39" s="29"/>
      <c r="R39" s="29"/>
      <c r="S39" s="30"/>
      <c r="T39" s="29"/>
      <c r="U39" s="29"/>
      <c r="V39" s="29"/>
    </row>
    <row r="40" spans="1:22" x14ac:dyDescent="0.35">
      <c r="A40" s="55" t="str">
        <f>IFERROR(IF('Investment Case Asks - Monthly'!A40="","",'Investment Case Asks - Monthly'!A40),"")</f>
        <v/>
      </c>
      <c r="B40" s="66" t="str">
        <f>IFERROR(IF('Investment Case Asks - Monthly'!B40="","",'Investment Case Asks - Monthly'!B40),"")</f>
        <v/>
      </c>
      <c r="C40" s="55" t="str">
        <f>IFERROR(IF('Investment Case Asks - Monthly'!C40="","",'Investment Case Asks - Monthly'!C40),"")</f>
        <v/>
      </c>
      <c r="D40" s="55" t="str">
        <f>IFERROR(IF('Investment Case Asks - Monthly'!D40="","",'Investment Case Asks - Monthly'!D40),"")</f>
        <v/>
      </c>
      <c r="E40" s="33" t="str">
        <f>IFERROR(IF('Investment Case Asks - Monthly'!R40="","",'Investment Case Asks - Monthly'!R40),"")</f>
        <v/>
      </c>
      <c r="F40" s="57" t="str">
        <f>IFERROR(IF('Investment Case Asks - Monthly'!AE40="","",'Investment Case Asks - Monthly'!AE40),"")</f>
        <v/>
      </c>
      <c r="G40" s="61" t="str">
        <f>IFERROR(IF('Investment Case Asks - Monthly'!AR40="","",'Investment Case Asks - Monthly'!AR40),"")</f>
        <v/>
      </c>
      <c r="H40" s="61" t="str">
        <f>IFERROR(IF('Investment Case Asks - Monthly'!AS40="","",'Investment Case Asks - Monthly'!AS40),"")</f>
        <v/>
      </c>
      <c r="I40" s="29"/>
      <c r="J40" s="30"/>
      <c r="K40" s="30"/>
      <c r="L40" s="30"/>
      <c r="M40" s="29"/>
      <c r="N40" s="29"/>
      <c r="O40" s="29"/>
      <c r="P40" s="29"/>
      <c r="Q40" s="29"/>
      <c r="R40" s="29"/>
      <c r="S40" s="30"/>
      <c r="T40" s="29"/>
      <c r="U40" s="29"/>
      <c r="V40" s="29"/>
    </row>
    <row r="41" spans="1:22" x14ac:dyDescent="0.35">
      <c r="A41" s="55" t="str">
        <f>IFERROR(IF('Investment Case Asks - Monthly'!A41="","",'Investment Case Asks - Monthly'!A41),"")</f>
        <v/>
      </c>
      <c r="B41" s="66" t="str">
        <f>IFERROR(IF('Investment Case Asks - Monthly'!B41="","",'Investment Case Asks - Monthly'!B41),"")</f>
        <v/>
      </c>
      <c r="C41" s="55" t="str">
        <f>IFERROR(IF('Investment Case Asks - Monthly'!C41="","",'Investment Case Asks - Monthly'!C41),"")</f>
        <v/>
      </c>
      <c r="D41" s="55" t="str">
        <f>IFERROR(IF('Investment Case Asks - Monthly'!D41="","",'Investment Case Asks - Monthly'!D41),"")</f>
        <v/>
      </c>
      <c r="E41" s="33" t="str">
        <f>IFERROR(IF('Investment Case Asks - Monthly'!R41="","",'Investment Case Asks - Monthly'!R41),"")</f>
        <v/>
      </c>
      <c r="F41" s="57" t="str">
        <f>IFERROR(IF('Investment Case Asks - Monthly'!AE41="","",'Investment Case Asks - Monthly'!AE41),"")</f>
        <v/>
      </c>
      <c r="G41" s="61" t="str">
        <f>IFERROR(IF('Investment Case Asks - Monthly'!AR41="","",'Investment Case Asks - Monthly'!AR41),"")</f>
        <v/>
      </c>
      <c r="H41" s="61" t="str">
        <f>IFERROR(IF('Investment Case Asks - Monthly'!AS41="","",'Investment Case Asks - Monthly'!AS41),"")</f>
        <v/>
      </c>
      <c r="I41" s="29"/>
      <c r="J41" s="30"/>
      <c r="K41" s="30"/>
      <c r="L41" s="30"/>
      <c r="M41" s="29"/>
      <c r="N41" s="29"/>
      <c r="O41" s="29"/>
      <c r="P41" s="29"/>
      <c r="Q41" s="29"/>
      <c r="R41" s="29"/>
      <c r="S41" s="30"/>
      <c r="T41" s="29"/>
      <c r="U41" s="29"/>
      <c r="V41" s="29"/>
    </row>
    <row r="42" spans="1:22" x14ac:dyDescent="0.35">
      <c r="A42" s="55" t="str">
        <f>IFERROR(IF('Investment Case Asks - Monthly'!A42="","",'Investment Case Asks - Monthly'!A42),"")</f>
        <v/>
      </c>
      <c r="B42" s="66" t="str">
        <f>IFERROR(IF('Investment Case Asks - Monthly'!B42="","",'Investment Case Asks - Monthly'!B42),"")</f>
        <v/>
      </c>
      <c r="C42" s="55" t="str">
        <f>IFERROR(IF('Investment Case Asks - Monthly'!C42="","",'Investment Case Asks - Monthly'!C42),"")</f>
        <v/>
      </c>
      <c r="D42" s="55" t="str">
        <f>IFERROR(IF('Investment Case Asks - Monthly'!D42="","",'Investment Case Asks - Monthly'!D42),"")</f>
        <v/>
      </c>
      <c r="E42" s="33" t="str">
        <f>IFERROR(IF('Investment Case Asks - Monthly'!R42="","",'Investment Case Asks - Monthly'!R42),"")</f>
        <v/>
      </c>
      <c r="F42" s="57" t="str">
        <f>IFERROR(IF('Investment Case Asks - Monthly'!AE42="","",'Investment Case Asks - Monthly'!AE42),"")</f>
        <v/>
      </c>
      <c r="G42" s="61" t="str">
        <f>IFERROR(IF('Investment Case Asks - Monthly'!AR42="","",'Investment Case Asks - Monthly'!AR42),"")</f>
        <v/>
      </c>
      <c r="H42" s="61" t="str">
        <f>IFERROR(IF('Investment Case Asks - Monthly'!AS42="","",'Investment Case Asks - Monthly'!AS42),"")</f>
        <v/>
      </c>
      <c r="I42" s="29"/>
      <c r="J42" s="30"/>
      <c r="K42" s="30"/>
      <c r="L42" s="30"/>
      <c r="M42" s="29"/>
      <c r="N42" s="29"/>
      <c r="O42" s="29"/>
      <c r="P42" s="29"/>
      <c r="Q42" s="29"/>
      <c r="R42" s="29"/>
      <c r="S42" s="30"/>
      <c r="T42" s="29"/>
      <c r="U42" s="29"/>
      <c r="V42" s="29"/>
    </row>
    <row r="43" spans="1:22" x14ac:dyDescent="0.35">
      <c r="A43" s="29"/>
      <c r="B43" s="29"/>
      <c r="C43" s="29"/>
      <c r="D43" s="29"/>
      <c r="E43" s="30"/>
      <c r="F43" s="29"/>
      <c r="G43" s="29"/>
      <c r="H43" s="29"/>
      <c r="I43" s="30"/>
      <c r="J43" s="30"/>
      <c r="K43" s="30"/>
      <c r="L43" s="29"/>
      <c r="M43" s="29"/>
      <c r="N43" s="29"/>
      <c r="O43" s="29"/>
      <c r="P43" s="29"/>
      <c r="Q43" s="29"/>
      <c r="R43" s="30"/>
      <c r="S43" s="29"/>
      <c r="T43" s="29"/>
      <c r="U43" s="29"/>
    </row>
    <row r="44" spans="1:22" ht="15" customHeight="1" thickBot="1" x14ac:dyDescent="0.4">
      <c r="A44" s="37" t="s">
        <v>62</v>
      </c>
      <c r="B44" s="37"/>
      <c r="C44" s="37"/>
      <c r="D44" s="38"/>
      <c r="E44" s="38">
        <f>SUM(E28:E42)</f>
        <v>0</v>
      </c>
      <c r="F44" s="38">
        <f>SUM(F28:F42)</f>
        <v>0</v>
      </c>
      <c r="G44" s="67">
        <f>SUM(G28:G42)</f>
        <v>0</v>
      </c>
      <c r="H44" s="67"/>
      <c r="I44" s="30"/>
      <c r="J44" s="30"/>
      <c r="K44" s="30"/>
      <c r="L44" s="29"/>
      <c r="M44" s="29"/>
      <c r="N44" s="29"/>
      <c r="O44" s="29"/>
      <c r="P44" s="29"/>
      <c r="Q44" s="29"/>
      <c r="R44" s="30"/>
      <c r="S44" s="29"/>
      <c r="T44" s="29"/>
      <c r="U44" s="29"/>
    </row>
    <row r="45" spans="1:22" ht="15" customHeight="1" thickTop="1" x14ac:dyDescent="0.35">
      <c r="L45" s="3"/>
      <c r="O45" s="3"/>
      <c r="P45" s="3"/>
      <c r="Q45" s="3"/>
      <c r="S45" s="3"/>
    </row>
    <row r="46" spans="1:22" x14ac:dyDescent="0.35">
      <c r="L46" s="3"/>
      <c r="O46" s="3"/>
      <c r="P46" s="3"/>
      <c r="Q46" s="3"/>
    </row>
    <row r="47" spans="1:22" x14ac:dyDescent="0.35">
      <c r="O47" s="3"/>
      <c r="P47" s="3"/>
      <c r="Q47" s="3"/>
      <c r="R47" s="3"/>
    </row>
    <row r="48" spans="1:22" x14ac:dyDescent="0.35">
      <c r="O48" s="3"/>
      <c r="P48" s="3"/>
      <c r="Q48" s="3"/>
      <c r="R48" s="3"/>
    </row>
    <row r="49" spans="15:18" x14ac:dyDescent="0.35">
      <c r="O49" s="3"/>
      <c r="P49" s="3"/>
      <c r="Q49" s="3"/>
      <c r="R49" s="3"/>
    </row>
    <row r="50" spans="15:18" x14ac:dyDescent="0.35">
      <c r="O50" s="3"/>
      <c r="P50" s="3"/>
      <c r="Q50" s="3"/>
      <c r="R50" s="3"/>
    </row>
  </sheetData>
  <sheetProtection algorithmName="SHA-512" hashValue="ANezrGLO+v31LJPX2LcwXy70iv1g5eBBijMMQkuBZzatBpd5v4Ay0MlPf8ouOntZvMmqqyuA7AA6p1GN7IfQWQ==" saltValue="fs/SVuqZxhSa6N0VNw/1cg==" spinCount="100000" sheet="1" objects="1" scenarios="1" selectLockedCells="1" selectUnlockedCells="1"/>
  <mergeCells count="4">
    <mergeCell ref="U3:X3"/>
    <mergeCell ref="A1:X1"/>
    <mergeCell ref="A3:S3"/>
    <mergeCell ref="A26:H26"/>
  </mergeCells>
  <pageMargins left="0.7" right="0.7" top="0.75" bottom="0.75" header="0.3" footer="0.3"/>
  <customProperties>
    <customPr name="isReportSheetChanged" r:id="rId1"/>
  </customProperties>
  <ignoredErrors>
    <ignoredError sqref="A21:G21 A22:F22" calculatedColumn="1"/>
    <ignoredError sqref="A5:I20 H22:S22 S5:S20 A28:H42 E44:H44" unlockedFormula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0"/>
  <sheetViews>
    <sheetView zoomScale="60" zoomScaleNormal="60" workbookViewId="0">
      <selection activeCell="K50" sqref="K50"/>
    </sheetView>
  </sheetViews>
  <sheetFormatPr defaultRowHeight="14.5" x14ac:dyDescent="0.35"/>
  <cols>
    <col min="1" max="1" width="38.08984375" style="3" customWidth="1"/>
    <col min="2" max="2" width="16.453125" style="3" bestFit="1" customWidth="1"/>
    <col min="3" max="3" width="28.7265625" style="3" bestFit="1" customWidth="1"/>
    <col min="4" max="4" width="21.90625" style="3" bestFit="1" customWidth="1"/>
    <col min="5" max="5" width="30.08984375" style="4" bestFit="1" customWidth="1"/>
    <col min="6" max="6" width="28.453125" style="4" bestFit="1" customWidth="1"/>
    <col min="7" max="7" width="20.26953125" style="4" bestFit="1" customWidth="1"/>
    <col min="8" max="8" width="17.54296875" style="4" bestFit="1" customWidth="1"/>
    <col min="9" max="9" width="19.453125" style="4" bestFit="1" customWidth="1"/>
    <col min="10" max="10" width="17.81640625" style="4" bestFit="1" customWidth="1"/>
    <col min="11" max="11" width="17.54296875" style="4" bestFit="1" customWidth="1"/>
    <col min="12" max="12" width="19.1796875" style="4" bestFit="1" customWidth="1"/>
    <col min="13" max="13" width="19.6328125" style="3" bestFit="1" customWidth="1"/>
    <col min="14" max="14" width="17.453125" style="3" bestFit="1" customWidth="1"/>
    <col min="15" max="15" width="21.90625" style="4" bestFit="1" customWidth="1"/>
    <col min="16" max="16" width="17.81640625" style="4" bestFit="1" customWidth="1"/>
    <col min="17" max="17" width="17.54296875" style="4" bestFit="1" customWidth="1"/>
    <col min="18" max="18" width="37.6328125" style="4" bestFit="1" customWidth="1"/>
    <col min="19" max="19" width="17.1796875" style="4" bestFit="1" customWidth="1"/>
    <col min="20" max="20" width="17.81640625" style="4" bestFit="1" customWidth="1"/>
    <col min="21" max="21" width="17.54296875" style="4" bestFit="1" customWidth="1"/>
    <col min="22" max="22" width="17.1796875" style="4" bestFit="1" customWidth="1"/>
    <col min="23" max="23" width="17.81640625" style="4" bestFit="1" customWidth="1"/>
    <col min="24" max="24" width="17.453125" style="4" bestFit="1" customWidth="1"/>
    <col min="25" max="25" width="17.1796875" style="4" bestFit="1" customWidth="1"/>
    <col min="26" max="26" width="17.81640625" style="4" bestFit="1" customWidth="1"/>
    <col min="27" max="27" width="17.54296875" style="4" bestFit="1" customWidth="1"/>
    <col min="28" max="28" width="37.6328125" style="4" bestFit="1" customWidth="1"/>
    <col min="29" max="29" width="17.81640625" style="4" bestFit="1" customWidth="1"/>
    <col min="30" max="30" width="17.54296875" style="4" bestFit="1" customWidth="1"/>
    <col min="31" max="31" width="37.6328125" style="4" bestFit="1" customWidth="1"/>
    <col min="32" max="32" width="17.1796875" style="4" bestFit="1" customWidth="1"/>
    <col min="33" max="33" width="17.81640625" style="4" bestFit="1" customWidth="1"/>
    <col min="34" max="34" width="17.54296875" style="4" bestFit="1" customWidth="1"/>
    <col min="35" max="35" width="17.1796875" style="4" bestFit="1" customWidth="1"/>
    <col min="36" max="36" width="17.81640625" style="4" bestFit="1" customWidth="1"/>
    <col min="37" max="37" width="17.453125" style="4" bestFit="1" customWidth="1"/>
    <col min="38" max="38" width="17.1796875" style="4" bestFit="1" customWidth="1"/>
    <col min="39" max="39" width="17.81640625" style="4" bestFit="1" customWidth="1"/>
    <col min="40" max="40" width="17.54296875" style="4" bestFit="1" customWidth="1"/>
    <col min="41" max="41" width="37.6328125" style="4" bestFit="1" customWidth="1"/>
    <col min="42" max="42" width="17.81640625" style="4" bestFit="1" customWidth="1"/>
    <col min="43" max="43" width="17.54296875" style="4" bestFit="1" customWidth="1"/>
    <col min="44" max="44" width="37.6328125" style="4" bestFit="1" customWidth="1"/>
    <col min="45" max="45" width="20.54296875" style="4" bestFit="1" customWidth="1"/>
    <col min="46" max="46" width="17.81640625" style="4" bestFit="1" customWidth="1"/>
    <col min="47" max="47" width="17.1796875" style="4" bestFit="1" customWidth="1"/>
    <col min="48" max="48" width="16.453125" style="4" bestFit="1" customWidth="1"/>
    <col min="49" max="49" width="17.54296875" style="4" bestFit="1" customWidth="1"/>
    <col min="50" max="50" width="17.453125" style="4" bestFit="1" customWidth="1"/>
    <col min="51" max="51" width="17.1796875" style="4" bestFit="1" customWidth="1"/>
    <col min="52" max="52" width="17.81640625" style="4" bestFit="1" customWidth="1"/>
    <col min="53" max="53" width="17.54296875" style="4" bestFit="1" customWidth="1"/>
    <col min="54" max="54" width="37.6328125" style="4" bestFit="1" customWidth="1"/>
    <col min="55" max="55" width="20.54296875" style="4" customWidth="1"/>
    <col min="56" max="56" width="8.7265625" style="3" customWidth="1"/>
    <col min="57" max="16384" width="8.7265625" style="3"/>
  </cols>
  <sheetData>
    <row r="1" spans="1:56" x14ac:dyDescent="0.35">
      <c r="A1" s="69" t="s">
        <v>167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</row>
    <row r="2" spans="1:56" x14ac:dyDescent="0.35">
      <c r="A2" s="29"/>
      <c r="B2" s="29"/>
      <c r="C2" s="29"/>
      <c r="D2" s="29"/>
      <c r="E2" s="30"/>
      <c r="F2" s="30"/>
      <c r="G2" s="30"/>
      <c r="H2" s="30"/>
      <c r="I2" s="30"/>
      <c r="J2" s="30"/>
      <c r="K2" s="30"/>
      <c r="L2" s="30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30"/>
    </row>
    <row r="3" spans="1:56" x14ac:dyDescent="0.35">
      <c r="A3" s="69" t="s">
        <v>42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</row>
    <row r="4" spans="1:56" s="5" customFormat="1" ht="29" x14ac:dyDescent="0.35">
      <c r="A4" s="31" t="s">
        <v>43</v>
      </c>
      <c r="B4" s="31" t="s">
        <v>168</v>
      </c>
      <c r="C4" s="31" t="s">
        <v>44</v>
      </c>
      <c r="D4" s="31" t="s">
        <v>45</v>
      </c>
      <c r="E4" s="31" t="s">
        <v>46</v>
      </c>
      <c r="F4" s="31" t="s">
        <v>47</v>
      </c>
      <c r="G4" s="31" t="s">
        <v>48</v>
      </c>
      <c r="H4" s="31" t="s">
        <v>49</v>
      </c>
      <c r="I4" s="31" t="s">
        <v>50</v>
      </c>
      <c r="J4" s="50" t="s">
        <v>3</v>
      </c>
      <c r="K4" s="50" t="s">
        <v>5</v>
      </c>
      <c r="L4" s="50" t="s">
        <v>6</v>
      </c>
      <c r="M4" s="50" t="s">
        <v>7</v>
      </c>
      <c r="N4" s="50" t="s">
        <v>8</v>
      </c>
      <c r="O4" s="50" t="s">
        <v>63</v>
      </c>
      <c r="P4" s="53" t="s">
        <v>131</v>
      </c>
      <c r="Q4" s="53" t="s">
        <v>132</v>
      </c>
      <c r="R4" s="53" t="s">
        <v>133</v>
      </c>
      <c r="S4" s="53" t="s">
        <v>134</v>
      </c>
      <c r="T4" s="53" t="s">
        <v>135</v>
      </c>
      <c r="U4" s="53" t="s">
        <v>136</v>
      </c>
      <c r="V4" s="53" t="s">
        <v>137</v>
      </c>
      <c r="W4" s="53" t="s">
        <v>138</v>
      </c>
      <c r="X4" s="53" t="s">
        <v>139</v>
      </c>
      <c r="Y4" s="53" t="s">
        <v>140</v>
      </c>
      <c r="Z4" s="53" t="s">
        <v>141</v>
      </c>
      <c r="AA4" s="53" t="s">
        <v>142</v>
      </c>
      <c r="AB4" s="53" t="s">
        <v>37</v>
      </c>
      <c r="AC4" s="53" t="s">
        <v>143</v>
      </c>
      <c r="AD4" s="53" t="s">
        <v>144</v>
      </c>
      <c r="AE4" s="53" t="s">
        <v>145</v>
      </c>
      <c r="AF4" s="53" t="s">
        <v>146</v>
      </c>
      <c r="AG4" s="53" t="s">
        <v>147</v>
      </c>
      <c r="AH4" s="53" t="s">
        <v>148</v>
      </c>
      <c r="AI4" s="53" t="s">
        <v>149</v>
      </c>
      <c r="AJ4" s="53" t="s">
        <v>150</v>
      </c>
      <c r="AK4" s="53" t="s">
        <v>151</v>
      </c>
      <c r="AL4" s="53" t="s">
        <v>152</v>
      </c>
      <c r="AM4" s="53" t="s">
        <v>153</v>
      </c>
      <c r="AN4" s="53" t="s">
        <v>154</v>
      </c>
      <c r="AO4" s="53" t="s">
        <v>38</v>
      </c>
      <c r="AP4" s="53" t="s">
        <v>155</v>
      </c>
      <c r="AQ4" s="53" t="s">
        <v>156</v>
      </c>
      <c r="AR4" s="53" t="s">
        <v>157</v>
      </c>
      <c r="AS4" s="53" t="s">
        <v>158</v>
      </c>
      <c r="AT4" s="53" t="s">
        <v>159</v>
      </c>
      <c r="AU4" s="53" t="s">
        <v>160</v>
      </c>
      <c r="AV4" s="53" t="s">
        <v>161</v>
      </c>
      <c r="AW4" s="53" t="s">
        <v>162</v>
      </c>
      <c r="AX4" s="53" t="s">
        <v>163</v>
      </c>
      <c r="AY4" s="53" t="s">
        <v>164</v>
      </c>
      <c r="AZ4" s="53" t="s">
        <v>165</v>
      </c>
      <c r="BA4" s="53" t="s">
        <v>166</v>
      </c>
      <c r="BB4" s="53" t="s">
        <v>39</v>
      </c>
      <c r="BC4" s="31" t="s">
        <v>52</v>
      </c>
      <c r="BD4" s="32"/>
    </row>
    <row r="5" spans="1:56" x14ac:dyDescent="0.35">
      <c r="A5" s="33"/>
      <c r="B5" s="33"/>
      <c r="C5" s="33"/>
      <c r="D5" s="33"/>
      <c r="E5" s="34"/>
      <c r="F5" s="35"/>
      <c r="G5" s="34"/>
      <c r="H5" s="35"/>
      <c r="I5" s="36"/>
      <c r="J5" s="52" t="str">
        <f t="shared" ref="J5:J20" si="0">IF(COUNTA($A5:$I5)&gt;0,IFERROR($H5*$I5,0),"")</f>
        <v/>
      </c>
      <c r="K5" s="52" t="str">
        <f>IF(COUNTA($A5:$I5)&gt;0,IFERROR($H5*Summary!$C$46/Summary!$C$43,0),"")</f>
        <v/>
      </c>
      <c r="L5" s="52" t="str">
        <f>IF(COUNTA($A5:$I5)&gt;0,IFERROR($H5*Summary!$C$47/Summary!$C$43,0),"")</f>
        <v/>
      </c>
      <c r="M5" s="52" t="str">
        <f>IF(COUNTA($A5:$I5)&gt;0,IFERROR($H5*Summary!$C$48/Summary!$C$43,0),"")</f>
        <v/>
      </c>
      <c r="N5" s="52" t="str">
        <f>IF(COUNTA($A5:$I5)&gt;0,IFERROR($H5*Summary!$C$49/Summary!$C$43,0),"")</f>
        <v/>
      </c>
      <c r="O5" s="52" t="str">
        <f t="shared" ref="O5:O20" si="1">IF(COUNTA($A5:$I5)&gt;0,IFERROR($H5,0)+SUM(J5:N5),"")</f>
        <v/>
      </c>
      <c r="P5" s="52" t="str">
        <f t="shared" ref="P5:AA5" si="2">_xlfn.LET(_xlpm.m,IF(ISNUMBER(P$4),DATE(YEAR(P$4),MONTH(P$4),1),DATEVALUE("1-"&amp;P$4)),IF(OR(COUNTA($A5:$G5)&gt;0,$H5&lt;&gt;""),$O5/12*IF($G5="",1,MAX(0,(EOMONTH(_xlpm.m,0)-MAX($G5,_xlpm.m)+1)/(EOMONTH(_xlpm.m,0)-_xlpm.m+1))),""))</f>
        <v/>
      </c>
      <c r="Q5" s="52" t="str">
        <f t="shared" si="2"/>
        <v/>
      </c>
      <c r="R5" s="52" t="str">
        <f t="shared" si="2"/>
        <v/>
      </c>
      <c r="S5" s="52" t="str">
        <f t="shared" si="2"/>
        <v/>
      </c>
      <c r="T5" s="52" t="str">
        <f t="shared" si="2"/>
        <v/>
      </c>
      <c r="U5" s="52" t="str">
        <f t="shared" si="2"/>
        <v/>
      </c>
      <c r="V5" s="52" t="str">
        <f t="shared" si="2"/>
        <v/>
      </c>
      <c r="W5" s="52" t="str">
        <f t="shared" si="2"/>
        <v/>
      </c>
      <c r="X5" s="52" t="str">
        <f t="shared" si="2"/>
        <v/>
      </c>
      <c r="Y5" s="52" t="str">
        <f t="shared" si="2"/>
        <v/>
      </c>
      <c r="Z5" s="52" t="str">
        <f t="shared" si="2"/>
        <v/>
      </c>
      <c r="AA5" s="52" t="str">
        <f t="shared" si="2"/>
        <v/>
      </c>
      <c r="AB5" s="52" t="str">
        <f>IF(OR(COUNTA($A5:$G5)&gt;0,$H5&lt;&gt;""),SUM(P5:AA5),"")</f>
        <v/>
      </c>
      <c r="AC5" s="52" t="str">
        <f t="shared" ref="AC5:AN5" si="3">_xlfn.LET(_xlpm.m,IF(ISNUMBER(AC$4),DATE(YEAR(AC$4),MONTH(AC$4),1),DATEVALUE("1-"&amp;AC$4)),IF(OR(COUNTA($A5:$G5)&gt;0,$H5&lt;&gt;""),$O5/12*IF($G5="",1,MAX(0,(EOMONTH(_xlpm.m,0)-MAX($G5,_xlpm.m)+1)/(EOMONTH(_xlpm.m,0)-_xlpm.m+1))),""))</f>
        <v/>
      </c>
      <c r="AD5" s="52" t="str">
        <f t="shared" si="3"/>
        <v/>
      </c>
      <c r="AE5" s="52" t="str">
        <f t="shared" si="3"/>
        <v/>
      </c>
      <c r="AF5" s="52" t="str">
        <f t="shared" si="3"/>
        <v/>
      </c>
      <c r="AG5" s="52" t="str">
        <f t="shared" si="3"/>
        <v/>
      </c>
      <c r="AH5" s="52" t="str">
        <f t="shared" si="3"/>
        <v/>
      </c>
      <c r="AI5" s="52" t="str">
        <f t="shared" si="3"/>
        <v/>
      </c>
      <c r="AJ5" s="52" t="str">
        <f t="shared" si="3"/>
        <v/>
      </c>
      <c r="AK5" s="52" t="str">
        <f t="shared" si="3"/>
        <v/>
      </c>
      <c r="AL5" s="52" t="str">
        <f t="shared" si="3"/>
        <v/>
      </c>
      <c r="AM5" s="52" t="str">
        <f t="shared" si="3"/>
        <v/>
      </c>
      <c r="AN5" s="52" t="str">
        <f t="shared" si="3"/>
        <v/>
      </c>
      <c r="AO5" s="52" t="str">
        <f>IF(OR(COUNTA($A5:$G5)&gt;0,$H5&lt;&gt;""),SUM(AC5:AN5),"")</f>
        <v/>
      </c>
      <c r="AP5" s="52" t="str">
        <f t="shared" ref="AP5:BA5" si="4">_xlfn.LET(_xlpm.m,IF(ISNUMBER(AP$4),DATE(YEAR(AP$4),MONTH(AP$4),1),DATEVALUE("1-"&amp;AP$4)),IF(OR(COUNTA($A5:$G5)&gt;0,$H5&lt;&gt;""),$O5/12*IF($G5="",1,MAX(0,(EOMONTH(_xlpm.m,0)-MAX($G5,_xlpm.m)+1)/(EOMONTH(_xlpm.m,0)-_xlpm.m+1))),""))</f>
        <v/>
      </c>
      <c r="AQ5" s="52" t="str">
        <f t="shared" si="4"/>
        <v/>
      </c>
      <c r="AR5" s="52" t="str">
        <f t="shared" si="4"/>
        <v/>
      </c>
      <c r="AS5" s="52" t="str">
        <f t="shared" si="4"/>
        <v/>
      </c>
      <c r="AT5" s="52" t="str">
        <f t="shared" si="4"/>
        <v/>
      </c>
      <c r="AU5" s="52" t="str">
        <f t="shared" si="4"/>
        <v/>
      </c>
      <c r="AV5" s="52" t="str">
        <f t="shared" si="4"/>
        <v/>
      </c>
      <c r="AW5" s="52" t="str">
        <f t="shared" si="4"/>
        <v/>
      </c>
      <c r="AX5" s="52" t="str">
        <f t="shared" si="4"/>
        <v/>
      </c>
      <c r="AY5" s="52" t="str">
        <f t="shared" si="4"/>
        <v/>
      </c>
      <c r="AZ5" s="52" t="str">
        <f t="shared" si="4"/>
        <v/>
      </c>
      <c r="BA5" s="52" t="str">
        <f t="shared" si="4"/>
        <v/>
      </c>
      <c r="BB5" s="52" t="str">
        <f>IF(OR(COUNTA($A5:$G5)&gt;0,$H5&lt;&gt;""),SUM(AP5:BA5),"")</f>
        <v/>
      </c>
      <c r="BC5" s="35"/>
      <c r="BD5" s="30"/>
    </row>
    <row r="6" spans="1:56" x14ac:dyDescent="0.35">
      <c r="A6" s="33"/>
      <c r="B6" s="33"/>
      <c r="C6" s="33"/>
      <c r="D6" s="33"/>
      <c r="E6" s="34"/>
      <c r="F6" s="35"/>
      <c r="G6" s="34"/>
      <c r="H6" s="35"/>
      <c r="I6" s="36"/>
      <c r="J6" s="52" t="str">
        <f t="shared" si="0"/>
        <v/>
      </c>
      <c r="K6" s="52" t="str">
        <f>IF(COUNTA($A6:$I6)&gt;0,IFERROR($H6*Summary!$C$46/Summary!$C$43,0),"")</f>
        <v/>
      </c>
      <c r="L6" s="52" t="str">
        <f>IF(COUNTA($A6:$I6)&gt;0,IFERROR($H6*Summary!$C$47/Summary!$C$43,0),"")</f>
        <v/>
      </c>
      <c r="M6" s="52" t="str">
        <f>IF(COUNTA($A6:$I6)&gt;0,IFERROR($H6*Summary!$C$48/Summary!$C$43,0),"")</f>
        <v/>
      </c>
      <c r="N6" s="52" t="str">
        <f>IF(COUNTA($A6:$I6)&gt;0,IFERROR($H6*Summary!$C$49/Summary!$C$43,0),"")</f>
        <v/>
      </c>
      <c r="O6" s="52" t="str">
        <f t="shared" si="1"/>
        <v/>
      </c>
      <c r="P6" s="52" t="str">
        <f t="shared" ref="P6:AA20" si="5">IF(COUNTA($A6:$I6)&gt;0,$O6/12*IF($G6="",1,MAX(0,(EOMONTH(P$4,0)-MAX($G6,P$4)+1)/(EOMONTH(P$4,0)-P$4+1))),"")</f>
        <v/>
      </c>
      <c r="Q6" s="52" t="str">
        <f t="shared" si="5"/>
        <v/>
      </c>
      <c r="R6" s="52" t="str">
        <f t="shared" si="5"/>
        <v/>
      </c>
      <c r="S6" s="52" t="str">
        <f t="shared" si="5"/>
        <v/>
      </c>
      <c r="T6" s="52" t="str">
        <f t="shared" si="5"/>
        <v/>
      </c>
      <c r="U6" s="52" t="str">
        <f t="shared" si="5"/>
        <v/>
      </c>
      <c r="V6" s="52" t="str">
        <f t="shared" si="5"/>
        <v/>
      </c>
      <c r="W6" s="52" t="str">
        <f t="shared" si="5"/>
        <v/>
      </c>
      <c r="X6" s="52" t="str">
        <f t="shared" si="5"/>
        <v/>
      </c>
      <c r="Y6" s="52" t="str">
        <f t="shared" si="5"/>
        <v/>
      </c>
      <c r="Z6" s="52" t="str">
        <f t="shared" si="5"/>
        <v/>
      </c>
      <c r="AA6" s="52" t="str">
        <f t="shared" si="5"/>
        <v/>
      </c>
      <c r="AB6" s="52" t="str">
        <f t="shared" ref="AB6:AB20" si="6">IF(COUNTA($A6:$I6)&gt;0,SUM(P6:AA6),"")</f>
        <v/>
      </c>
      <c r="AC6" s="52" t="str">
        <f t="shared" ref="AC6:AN20" si="7">IF(COUNTA($A6:$I6)&gt;0,$O6/12*IF($G6="",1,MAX(0,(EOMONTH(AC$4,0)-MAX($G6,AC$4)+1)/(EOMONTH(AC$4,0)-AC$4+1))),"")</f>
        <v/>
      </c>
      <c r="AD6" s="52" t="str">
        <f t="shared" si="7"/>
        <v/>
      </c>
      <c r="AE6" s="52" t="str">
        <f t="shared" si="7"/>
        <v/>
      </c>
      <c r="AF6" s="52" t="str">
        <f t="shared" si="7"/>
        <v/>
      </c>
      <c r="AG6" s="52" t="str">
        <f t="shared" si="7"/>
        <v/>
      </c>
      <c r="AH6" s="52" t="str">
        <f t="shared" si="7"/>
        <v/>
      </c>
      <c r="AI6" s="52" t="str">
        <f t="shared" si="7"/>
        <v/>
      </c>
      <c r="AJ6" s="52" t="str">
        <f t="shared" si="7"/>
        <v/>
      </c>
      <c r="AK6" s="52" t="str">
        <f t="shared" si="7"/>
        <v/>
      </c>
      <c r="AL6" s="52" t="str">
        <f t="shared" si="7"/>
        <v/>
      </c>
      <c r="AM6" s="52" t="str">
        <f t="shared" si="7"/>
        <v/>
      </c>
      <c r="AN6" s="52" t="str">
        <f t="shared" si="7"/>
        <v/>
      </c>
      <c r="AO6" s="52" t="str">
        <f t="shared" ref="AO6:AO20" si="8">IF(COUNTA($A6:$I6)&gt;0,SUM(AC6:AN6),"")</f>
        <v/>
      </c>
      <c r="AP6" s="52" t="str">
        <f t="shared" ref="AP6:BA20" si="9">IF(COUNTA($A6:$I6)&gt;0,$O6/12*IF($G6="",1,MAX(0,(EOMONTH(AP$4,0)-MAX($G6,AP$4)+1)/(EOMONTH(AP$4,0)-AP$4+1))),"")</f>
        <v/>
      </c>
      <c r="AQ6" s="52" t="str">
        <f t="shared" si="9"/>
        <v/>
      </c>
      <c r="AR6" s="52" t="str">
        <f t="shared" si="9"/>
        <v/>
      </c>
      <c r="AS6" s="52" t="str">
        <f t="shared" si="9"/>
        <v/>
      </c>
      <c r="AT6" s="52" t="str">
        <f t="shared" si="9"/>
        <v/>
      </c>
      <c r="AU6" s="52" t="str">
        <f t="shared" si="9"/>
        <v/>
      </c>
      <c r="AV6" s="52" t="str">
        <f t="shared" si="9"/>
        <v/>
      </c>
      <c r="AW6" s="52" t="str">
        <f t="shared" si="9"/>
        <v/>
      </c>
      <c r="AX6" s="52" t="str">
        <f t="shared" si="9"/>
        <v/>
      </c>
      <c r="AY6" s="52" t="str">
        <f t="shared" si="9"/>
        <v/>
      </c>
      <c r="AZ6" s="52" t="str">
        <f t="shared" si="9"/>
        <v/>
      </c>
      <c r="BA6" s="52" t="str">
        <f t="shared" si="9"/>
        <v/>
      </c>
      <c r="BB6" s="52" t="str">
        <f t="shared" ref="BB6:BB20" si="10">IF(COUNTA($A6:$I6)&gt;0,SUM(AP6:BA6),"")</f>
        <v/>
      </c>
      <c r="BC6" s="35"/>
      <c r="BD6" s="30"/>
    </row>
    <row r="7" spans="1:56" x14ac:dyDescent="0.35">
      <c r="A7" s="33"/>
      <c r="B7" s="33"/>
      <c r="C7" s="33"/>
      <c r="D7" s="33"/>
      <c r="E7" s="34"/>
      <c r="F7" s="35"/>
      <c r="G7" s="34"/>
      <c r="H7" s="35"/>
      <c r="I7" s="36"/>
      <c r="J7" s="52" t="str">
        <f t="shared" si="0"/>
        <v/>
      </c>
      <c r="K7" s="52" t="str">
        <f>IF(COUNTA($A7:$I7)&gt;0,IFERROR($H7*Summary!$C$46/Summary!$C$43,0),"")</f>
        <v/>
      </c>
      <c r="L7" s="52" t="str">
        <f>IF(COUNTA($A7:$I7)&gt;0,IFERROR($H7*Summary!$C$47/Summary!$C$43,0),"")</f>
        <v/>
      </c>
      <c r="M7" s="52" t="str">
        <f>IF(COUNTA($A7:$I7)&gt;0,IFERROR($H7*Summary!$C$48/Summary!$C$43,0),"")</f>
        <v/>
      </c>
      <c r="N7" s="52" t="str">
        <f>IF(COUNTA($A7:$I7)&gt;0,IFERROR($H7*Summary!$C$49/Summary!$C$43,0),"")</f>
        <v/>
      </c>
      <c r="O7" s="52" t="str">
        <f t="shared" si="1"/>
        <v/>
      </c>
      <c r="P7" s="52" t="str">
        <f t="shared" si="5"/>
        <v/>
      </c>
      <c r="Q7" s="52" t="str">
        <f t="shared" si="5"/>
        <v/>
      </c>
      <c r="R7" s="52" t="str">
        <f t="shared" si="5"/>
        <v/>
      </c>
      <c r="S7" s="52" t="str">
        <f t="shared" si="5"/>
        <v/>
      </c>
      <c r="T7" s="52" t="str">
        <f t="shared" si="5"/>
        <v/>
      </c>
      <c r="U7" s="52" t="str">
        <f t="shared" si="5"/>
        <v/>
      </c>
      <c r="V7" s="52" t="str">
        <f t="shared" si="5"/>
        <v/>
      </c>
      <c r="W7" s="52" t="str">
        <f t="shared" si="5"/>
        <v/>
      </c>
      <c r="X7" s="52" t="str">
        <f t="shared" si="5"/>
        <v/>
      </c>
      <c r="Y7" s="52" t="str">
        <f t="shared" si="5"/>
        <v/>
      </c>
      <c r="Z7" s="52" t="str">
        <f t="shared" si="5"/>
        <v/>
      </c>
      <c r="AA7" s="52" t="str">
        <f t="shared" si="5"/>
        <v/>
      </c>
      <c r="AB7" s="52" t="str">
        <f t="shared" si="6"/>
        <v/>
      </c>
      <c r="AC7" s="52" t="str">
        <f t="shared" si="7"/>
        <v/>
      </c>
      <c r="AD7" s="52" t="str">
        <f t="shared" si="7"/>
        <v/>
      </c>
      <c r="AE7" s="52" t="str">
        <f t="shared" si="7"/>
        <v/>
      </c>
      <c r="AF7" s="52" t="str">
        <f t="shared" si="7"/>
        <v/>
      </c>
      <c r="AG7" s="52" t="str">
        <f t="shared" si="7"/>
        <v/>
      </c>
      <c r="AH7" s="52" t="str">
        <f t="shared" si="7"/>
        <v/>
      </c>
      <c r="AI7" s="52" t="str">
        <f t="shared" si="7"/>
        <v/>
      </c>
      <c r="AJ7" s="52" t="str">
        <f t="shared" si="7"/>
        <v/>
      </c>
      <c r="AK7" s="52" t="str">
        <f t="shared" si="7"/>
        <v/>
      </c>
      <c r="AL7" s="52" t="str">
        <f t="shared" si="7"/>
        <v/>
      </c>
      <c r="AM7" s="52" t="str">
        <f t="shared" si="7"/>
        <v/>
      </c>
      <c r="AN7" s="52" t="str">
        <f t="shared" si="7"/>
        <v/>
      </c>
      <c r="AO7" s="52" t="str">
        <f t="shared" si="8"/>
        <v/>
      </c>
      <c r="AP7" s="52" t="str">
        <f t="shared" si="9"/>
        <v/>
      </c>
      <c r="AQ7" s="52" t="str">
        <f t="shared" si="9"/>
        <v/>
      </c>
      <c r="AR7" s="52" t="str">
        <f t="shared" si="9"/>
        <v/>
      </c>
      <c r="AS7" s="52" t="str">
        <f t="shared" si="9"/>
        <v/>
      </c>
      <c r="AT7" s="52" t="str">
        <f t="shared" si="9"/>
        <v/>
      </c>
      <c r="AU7" s="52" t="str">
        <f t="shared" si="9"/>
        <v/>
      </c>
      <c r="AV7" s="52" t="str">
        <f t="shared" si="9"/>
        <v/>
      </c>
      <c r="AW7" s="52" t="str">
        <f t="shared" si="9"/>
        <v/>
      </c>
      <c r="AX7" s="52" t="str">
        <f t="shared" si="9"/>
        <v/>
      </c>
      <c r="AY7" s="52" t="str">
        <f t="shared" si="9"/>
        <v/>
      </c>
      <c r="AZ7" s="52" t="str">
        <f t="shared" si="9"/>
        <v/>
      </c>
      <c r="BA7" s="52" t="str">
        <f t="shared" si="9"/>
        <v/>
      </c>
      <c r="BB7" s="52" t="str">
        <f t="shared" si="10"/>
        <v/>
      </c>
      <c r="BC7" s="35"/>
      <c r="BD7" s="30"/>
    </row>
    <row r="8" spans="1:56" x14ac:dyDescent="0.35">
      <c r="A8" s="33"/>
      <c r="B8" s="33"/>
      <c r="C8" s="33"/>
      <c r="D8" s="33"/>
      <c r="E8" s="34"/>
      <c r="F8" s="35"/>
      <c r="G8" s="34"/>
      <c r="H8" s="35"/>
      <c r="I8" s="36"/>
      <c r="J8" s="52" t="str">
        <f t="shared" si="0"/>
        <v/>
      </c>
      <c r="K8" s="52" t="str">
        <f>IF(COUNTA($A8:$I8)&gt;0,IFERROR($H8*Summary!$C$46/Summary!$C$43,0),"")</f>
        <v/>
      </c>
      <c r="L8" s="52" t="str">
        <f>IF(COUNTA($A8:$I8)&gt;0,IFERROR($H8*Summary!$C$47/Summary!$C$43,0),"")</f>
        <v/>
      </c>
      <c r="M8" s="52" t="str">
        <f>IF(COUNTA($A8:$I8)&gt;0,IFERROR($H8*Summary!$C$48/Summary!$C$43,0),"")</f>
        <v/>
      </c>
      <c r="N8" s="52" t="str">
        <f>IF(COUNTA($A8:$I8)&gt;0,IFERROR($H8*Summary!$C$49/Summary!$C$43,0),"")</f>
        <v/>
      </c>
      <c r="O8" s="52" t="str">
        <f t="shared" si="1"/>
        <v/>
      </c>
      <c r="P8" s="52" t="str">
        <f t="shared" si="5"/>
        <v/>
      </c>
      <c r="Q8" s="52" t="str">
        <f t="shared" si="5"/>
        <v/>
      </c>
      <c r="R8" s="52" t="str">
        <f t="shared" si="5"/>
        <v/>
      </c>
      <c r="S8" s="52" t="str">
        <f t="shared" si="5"/>
        <v/>
      </c>
      <c r="T8" s="52" t="str">
        <f t="shared" si="5"/>
        <v/>
      </c>
      <c r="U8" s="52" t="str">
        <f t="shared" si="5"/>
        <v/>
      </c>
      <c r="V8" s="52" t="str">
        <f t="shared" si="5"/>
        <v/>
      </c>
      <c r="W8" s="52" t="str">
        <f t="shared" si="5"/>
        <v/>
      </c>
      <c r="X8" s="52" t="str">
        <f t="shared" si="5"/>
        <v/>
      </c>
      <c r="Y8" s="52" t="str">
        <f t="shared" si="5"/>
        <v/>
      </c>
      <c r="Z8" s="52" t="str">
        <f t="shared" si="5"/>
        <v/>
      </c>
      <c r="AA8" s="52" t="str">
        <f t="shared" si="5"/>
        <v/>
      </c>
      <c r="AB8" s="52" t="str">
        <f t="shared" si="6"/>
        <v/>
      </c>
      <c r="AC8" s="52" t="str">
        <f t="shared" si="7"/>
        <v/>
      </c>
      <c r="AD8" s="52" t="str">
        <f t="shared" si="7"/>
        <v/>
      </c>
      <c r="AE8" s="52" t="str">
        <f t="shared" si="7"/>
        <v/>
      </c>
      <c r="AF8" s="52" t="str">
        <f t="shared" si="7"/>
        <v/>
      </c>
      <c r="AG8" s="52" t="str">
        <f t="shared" si="7"/>
        <v/>
      </c>
      <c r="AH8" s="52" t="str">
        <f t="shared" si="7"/>
        <v/>
      </c>
      <c r="AI8" s="52" t="str">
        <f t="shared" si="7"/>
        <v/>
      </c>
      <c r="AJ8" s="52" t="str">
        <f t="shared" si="7"/>
        <v/>
      </c>
      <c r="AK8" s="52" t="str">
        <f t="shared" si="7"/>
        <v/>
      </c>
      <c r="AL8" s="52" t="str">
        <f t="shared" si="7"/>
        <v/>
      </c>
      <c r="AM8" s="52" t="str">
        <f t="shared" si="7"/>
        <v/>
      </c>
      <c r="AN8" s="52" t="str">
        <f t="shared" si="7"/>
        <v/>
      </c>
      <c r="AO8" s="52" t="str">
        <f t="shared" si="8"/>
        <v/>
      </c>
      <c r="AP8" s="52" t="str">
        <f t="shared" si="9"/>
        <v/>
      </c>
      <c r="AQ8" s="52" t="str">
        <f t="shared" si="9"/>
        <v/>
      </c>
      <c r="AR8" s="52" t="str">
        <f t="shared" si="9"/>
        <v/>
      </c>
      <c r="AS8" s="52" t="str">
        <f t="shared" si="9"/>
        <v/>
      </c>
      <c r="AT8" s="52" t="str">
        <f t="shared" si="9"/>
        <v/>
      </c>
      <c r="AU8" s="52" t="str">
        <f t="shared" si="9"/>
        <v/>
      </c>
      <c r="AV8" s="52" t="str">
        <f t="shared" si="9"/>
        <v/>
      </c>
      <c r="AW8" s="52" t="str">
        <f t="shared" si="9"/>
        <v/>
      </c>
      <c r="AX8" s="52" t="str">
        <f t="shared" si="9"/>
        <v/>
      </c>
      <c r="AY8" s="52" t="str">
        <f t="shared" si="9"/>
        <v/>
      </c>
      <c r="AZ8" s="52" t="str">
        <f t="shared" si="9"/>
        <v/>
      </c>
      <c r="BA8" s="52" t="str">
        <f t="shared" si="9"/>
        <v/>
      </c>
      <c r="BB8" s="52" t="str">
        <f t="shared" si="10"/>
        <v/>
      </c>
      <c r="BC8" s="35"/>
      <c r="BD8" s="30"/>
    </row>
    <row r="9" spans="1:56" x14ac:dyDescent="0.35">
      <c r="A9" s="33"/>
      <c r="B9" s="33"/>
      <c r="C9" s="33"/>
      <c r="D9" s="33"/>
      <c r="E9" s="34"/>
      <c r="F9" s="35"/>
      <c r="G9" s="34"/>
      <c r="H9" s="35"/>
      <c r="I9" s="36"/>
      <c r="J9" s="52" t="str">
        <f t="shared" si="0"/>
        <v/>
      </c>
      <c r="K9" s="52" t="str">
        <f>IF(COUNTA($A9:$I9)&gt;0,IFERROR($H9*Summary!$C$46/Summary!$C$43,0),"")</f>
        <v/>
      </c>
      <c r="L9" s="52" t="str">
        <f>IF(COUNTA($A9:$I9)&gt;0,IFERROR($H9*Summary!$C$47/Summary!$C$43,0),"")</f>
        <v/>
      </c>
      <c r="M9" s="52" t="str">
        <f>IF(COUNTA($A9:$I9)&gt;0,IFERROR($H9*Summary!$C$48/Summary!$C$43,0),"")</f>
        <v/>
      </c>
      <c r="N9" s="52" t="str">
        <f>IF(COUNTA($A9:$I9)&gt;0,IFERROR($H9*Summary!$C$49/Summary!$C$43,0),"")</f>
        <v/>
      </c>
      <c r="O9" s="52" t="str">
        <f t="shared" si="1"/>
        <v/>
      </c>
      <c r="P9" s="52" t="str">
        <f t="shared" si="5"/>
        <v/>
      </c>
      <c r="Q9" s="52" t="str">
        <f t="shared" si="5"/>
        <v/>
      </c>
      <c r="R9" s="52" t="str">
        <f t="shared" si="5"/>
        <v/>
      </c>
      <c r="S9" s="52" t="str">
        <f t="shared" si="5"/>
        <v/>
      </c>
      <c r="T9" s="52" t="str">
        <f t="shared" si="5"/>
        <v/>
      </c>
      <c r="U9" s="52" t="str">
        <f t="shared" si="5"/>
        <v/>
      </c>
      <c r="V9" s="52" t="str">
        <f t="shared" si="5"/>
        <v/>
      </c>
      <c r="W9" s="52" t="str">
        <f t="shared" si="5"/>
        <v/>
      </c>
      <c r="X9" s="52" t="str">
        <f t="shared" si="5"/>
        <v/>
      </c>
      <c r="Y9" s="52" t="str">
        <f t="shared" si="5"/>
        <v/>
      </c>
      <c r="Z9" s="52" t="str">
        <f t="shared" si="5"/>
        <v/>
      </c>
      <c r="AA9" s="52" t="str">
        <f t="shared" si="5"/>
        <v/>
      </c>
      <c r="AB9" s="52" t="str">
        <f t="shared" si="6"/>
        <v/>
      </c>
      <c r="AC9" s="52" t="str">
        <f t="shared" si="7"/>
        <v/>
      </c>
      <c r="AD9" s="52" t="str">
        <f t="shared" si="7"/>
        <v/>
      </c>
      <c r="AE9" s="52" t="str">
        <f t="shared" si="7"/>
        <v/>
      </c>
      <c r="AF9" s="52" t="str">
        <f t="shared" si="7"/>
        <v/>
      </c>
      <c r="AG9" s="52" t="str">
        <f t="shared" si="7"/>
        <v/>
      </c>
      <c r="AH9" s="52" t="str">
        <f t="shared" si="7"/>
        <v/>
      </c>
      <c r="AI9" s="52" t="str">
        <f t="shared" si="7"/>
        <v/>
      </c>
      <c r="AJ9" s="52" t="str">
        <f t="shared" si="7"/>
        <v/>
      </c>
      <c r="AK9" s="52" t="str">
        <f t="shared" si="7"/>
        <v/>
      </c>
      <c r="AL9" s="52" t="str">
        <f t="shared" si="7"/>
        <v/>
      </c>
      <c r="AM9" s="52" t="str">
        <f t="shared" si="7"/>
        <v/>
      </c>
      <c r="AN9" s="52" t="str">
        <f t="shared" si="7"/>
        <v/>
      </c>
      <c r="AO9" s="52" t="str">
        <f t="shared" si="8"/>
        <v/>
      </c>
      <c r="AP9" s="52" t="str">
        <f t="shared" si="9"/>
        <v/>
      </c>
      <c r="AQ9" s="52" t="str">
        <f t="shared" si="9"/>
        <v/>
      </c>
      <c r="AR9" s="52" t="str">
        <f t="shared" si="9"/>
        <v/>
      </c>
      <c r="AS9" s="52" t="str">
        <f t="shared" si="9"/>
        <v/>
      </c>
      <c r="AT9" s="52" t="str">
        <f t="shared" si="9"/>
        <v/>
      </c>
      <c r="AU9" s="52" t="str">
        <f t="shared" si="9"/>
        <v/>
      </c>
      <c r="AV9" s="52" t="str">
        <f t="shared" si="9"/>
        <v/>
      </c>
      <c r="AW9" s="52" t="str">
        <f t="shared" si="9"/>
        <v/>
      </c>
      <c r="AX9" s="52" t="str">
        <f t="shared" si="9"/>
        <v/>
      </c>
      <c r="AY9" s="52" t="str">
        <f t="shared" si="9"/>
        <v/>
      </c>
      <c r="AZ9" s="52" t="str">
        <f t="shared" si="9"/>
        <v/>
      </c>
      <c r="BA9" s="52" t="str">
        <f t="shared" si="9"/>
        <v/>
      </c>
      <c r="BB9" s="52" t="str">
        <f t="shared" si="10"/>
        <v/>
      </c>
      <c r="BC9" s="35"/>
      <c r="BD9" s="30"/>
    </row>
    <row r="10" spans="1:56" x14ac:dyDescent="0.35">
      <c r="A10" s="33"/>
      <c r="B10" s="33"/>
      <c r="C10" s="33"/>
      <c r="D10" s="33"/>
      <c r="E10" s="34"/>
      <c r="F10" s="35"/>
      <c r="G10" s="34"/>
      <c r="H10" s="35"/>
      <c r="I10" s="36"/>
      <c r="J10" s="52" t="str">
        <f t="shared" si="0"/>
        <v/>
      </c>
      <c r="K10" s="52" t="str">
        <f>IF(COUNTA($A10:$I10)&gt;0,IFERROR($H10*Summary!$C$46/Summary!$C$43,0),"")</f>
        <v/>
      </c>
      <c r="L10" s="52" t="str">
        <f>IF(COUNTA($A10:$I10)&gt;0,IFERROR($H10*Summary!$C$47/Summary!$C$43,0),"")</f>
        <v/>
      </c>
      <c r="M10" s="52" t="str">
        <f>IF(COUNTA($A10:$I10)&gt;0,IFERROR($H10*Summary!$C$48/Summary!$C$43,0),"")</f>
        <v/>
      </c>
      <c r="N10" s="52" t="str">
        <f>IF(COUNTA($A10:$I10)&gt;0,IFERROR($H10*Summary!$C$49/Summary!$C$43,0),"")</f>
        <v/>
      </c>
      <c r="O10" s="52" t="str">
        <f t="shared" si="1"/>
        <v/>
      </c>
      <c r="P10" s="52" t="str">
        <f t="shared" si="5"/>
        <v/>
      </c>
      <c r="Q10" s="52" t="str">
        <f t="shared" si="5"/>
        <v/>
      </c>
      <c r="R10" s="52" t="str">
        <f t="shared" si="5"/>
        <v/>
      </c>
      <c r="S10" s="52" t="str">
        <f t="shared" si="5"/>
        <v/>
      </c>
      <c r="T10" s="52" t="str">
        <f t="shared" si="5"/>
        <v/>
      </c>
      <c r="U10" s="52" t="str">
        <f t="shared" si="5"/>
        <v/>
      </c>
      <c r="V10" s="52" t="str">
        <f t="shared" si="5"/>
        <v/>
      </c>
      <c r="W10" s="52" t="str">
        <f t="shared" si="5"/>
        <v/>
      </c>
      <c r="X10" s="52" t="str">
        <f t="shared" si="5"/>
        <v/>
      </c>
      <c r="Y10" s="52" t="str">
        <f t="shared" si="5"/>
        <v/>
      </c>
      <c r="Z10" s="52" t="str">
        <f t="shared" si="5"/>
        <v/>
      </c>
      <c r="AA10" s="52" t="str">
        <f t="shared" si="5"/>
        <v/>
      </c>
      <c r="AB10" s="52" t="str">
        <f t="shared" si="6"/>
        <v/>
      </c>
      <c r="AC10" s="52" t="str">
        <f t="shared" si="7"/>
        <v/>
      </c>
      <c r="AD10" s="52" t="str">
        <f t="shared" si="7"/>
        <v/>
      </c>
      <c r="AE10" s="52" t="str">
        <f t="shared" si="7"/>
        <v/>
      </c>
      <c r="AF10" s="52" t="str">
        <f t="shared" si="7"/>
        <v/>
      </c>
      <c r="AG10" s="52" t="str">
        <f t="shared" si="7"/>
        <v/>
      </c>
      <c r="AH10" s="52" t="str">
        <f t="shared" si="7"/>
        <v/>
      </c>
      <c r="AI10" s="52" t="str">
        <f t="shared" si="7"/>
        <v/>
      </c>
      <c r="AJ10" s="52" t="str">
        <f t="shared" si="7"/>
        <v/>
      </c>
      <c r="AK10" s="52" t="str">
        <f t="shared" si="7"/>
        <v/>
      </c>
      <c r="AL10" s="52" t="str">
        <f t="shared" si="7"/>
        <v/>
      </c>
      <c r="AM10" s="52" t="str">
        <f t="shared" si="7"/>
        <v/>
      </c>
      <c r="AN10" s="52" t="str">
        <f t="shared" si="7"/>
        <v/>
      </c>
      <c r="AO10" s="52" t="str">
        <f t="shared" si="8"/>
        <v/>
      </c>
      <c r="AP10" s="52" t="str">
        <f t="shared" si="9"/>
        <v/>
      </c>
      <c r="AQ10" s="52" t="str">
        <f t="shared" si="9"/>
        <v/>
      </c>
      <c r="AR10" s="52" t="str">
        <f t="shared" si="9"/>
        <v/>
      </c>
      <c r="AS10" s="52" t="str">
        <f t="shared" si="9"/>
        <v/>
      </c>
      <c r="AT10" s="52" t="str">
        <f t="shared" si="9"/>
        <v/>
      </c>
      <c r="AU10" s="52" t="str">
        <f t="shared" si="9"/>
        <v/>
      </c>
      <c r="AV10" s="52" t="str">
        <f t="shared" si="9"/>
        <v/>
      </c>
      <c r="AW10" s="52" t="str">
        <f t="shared" si="9"/>
        <v/>
      </c>
      <c r="AX10" s="52" t="str">
        <f t="shared" si="9"/>
        <v/>
      </c>
      <c r="AY10" s="52" t="str">
        <f t="shared" si="9"/>
        <v/>
      </c>
      <c r="AZ10" s="52" t="str">
        <f t="shared" si="9"/>
        <v/>
      </c>
      <c r="BA10" s="52" t="str">
        <f t="shared" si="9"/>
        <v/>
      </c>
      <c r="BB10" s="52" t="str">
        <f t="shared" si="10"/>
        <v/>
      </c>
      <c r="BC10" s="35"/>
      <c r="BD10" s="30"/>
    </row>
    <row r="11" spans="1:56" x14ac:dyDescent="0.35">
      <c r="A11" s="33"/>
      <c r="B11" s="33"/>
      <c r="C11" s="33"/>
      <c r="D11" s="33"/>
      <c r="E11" s="34"/>
      <c r="F11" s="35"/>
      <c r="G11" s="34"/>
      <c r="H11" s="35"/>
      <c r="I11" s="36"/>
      <c r="J11" s="52" t="str">
        <f t="shared" si="0"/>
        <v/>
      </c>
      <c r="K11" s="52" t="str">
        <f>IF(COUNTA($A11:$I11)&gt;0,IFERROR($H11*Summary!$C$46/Summary!$C$43,0),"")</f>
        <v/>
      </c>
      <c r="L11" s="52" t="str">
        <f>IF(COUNTA($A11:$I11)&gt;0,IFERROR($H11*Summary!$C$47/Summary!$C$43,0),"")</f>
        <v/>
      </c>
      <c r="M11" s="52" t="str">
        <f>IF(COUNTA($A11:$I11)&gt;0,IFERROR($H11*Summary!$C$48/Summary!$C$43,0),"")</f>
        <v/>
      </c>
      <c r="N11" s="52" t="str">
        <f>IF(COUNTA($A11:$I11)&gt;0,IFERROR($H11*Summary!$C$49/Summary!$C$43,0),"")</f>
        <v/>
      </c>
      <c r="O11" s="52" t="str">
        <f t="shared" si="1"/>
        <v/>
      </c>
      <c r="P11" s="52" t="str">
        <f t="shared" si="5"/>
        <v/>
      </c>
      <c r="Q11" s="52" t="str">
        <f t="shared" si="5"/>
        <v/>
      </c>
      <c r="R11" s="52" t="str">
        <f t="shared" si="5"/>
        <v/>
      </c>
      <c r="S11" s="52" t="str">
        <f t="shared" si="5"/>
        <v/>
      </c>
      <c r="T11" s="52" t="str">
        <f t="shared" si="5"/>
        <v/>
      </c>
      <c r="U11" s="52" t="str">
        <f t="shared" si="5"/>
        <v/>
      </c>
      <c r="V11" s="52" t="str">
        <f t="shared" si="5"/>
        <v/>
      </c>
      <c r="W11" s="52" t="str">
        <f t="shared" si="5"/>
        <v/>
      </c>
      <c r="X11" s="52" t="str">
        <f t="shared" si="5"/>
        <v/>
      </c>
      <c r="Y11" s="52" t="str">
        <f t="shared" si="5"/>
        <v/>
      </c>
      <c r="Z11" s="52" t="str">
        <f t="shared" si="5"/>
        <v/>
      </c>
      <c r="AA11" s="52" t="str">
        <f t="shared" si="5"/>
        <v/>
      </c>
      <c r="AB11" s="52" t="str">
        <f t="shared" si="6"/>
        <v/>
      </c>
      <c r="AC11" s="52" t="str">
        <f t="shared" si="7"/>
        <v/>
      </c>
      <c r="AD11" s="52" t="str">
        <f t="shared" si="7"/>
        <v/>
      </c>
      <c r="AE11" s="52" t="str">
        <f t="shared" si="7"/>
        <v/>
      </c>
      <c r="AF11" s="52" t="str">
        <f t="shared" si="7"/>
        <v/>
      </c>
      <c r="AG11" s="52" t="str">
        <f t="shared" si="7"/>
        <v/>
      </c>
      <c r="AH11" s="52" t="str">
        <f t="shared" si="7"/>
        <v/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8"/>
        <v/>
      </c>
      <c r="AP11" s="52" t="str">
        <f t="shared" si="9"/>
        <v/>
      </c>
      <c r="AQ11" s="52" t="str">
        <f t="shared" si="9"/>
        <v/>
      </c>
      <c r="AR11" s="52" t="str">
        <f t="shared" si="9"/>
        <v/>
      </c>
      <c r="AS11" s="52" t="str">
        <f t="shared" si="9"/>
        <v/>
      </c>
      <c r="AT11" s="52" t="str">
        <f t="shared" si="9"/>
        <v/>
      </c>
      <c r="AU11" s="52" t="str">
        <f t="shared" si="9"/>
        <v/>
      </c>
      <c r="AV11" s="52" t="str">
        <f t="shared" si="9"/>
        <v/>
      </c>
      <c r="AW11" s="52" t="str">
        <f t="shared" si="9"/>
        <v/>
      </c>
      <c r="AX11" s="52" t="str">
        <f t="shared" si="9"/>
        <v/>
      </c>
      <c r="AY11" s="52" t="str">
        <f t="shared" si="9"/>
        <v/>
      </c>
      <c r="AZ11" s="52" t="str">
        <f t="shared" si="9"/>
        <v/>
      </c>
      <c r="BA11" s="52" t="str">
        <f t="shared" si="9"/>
        <v/>
      </c>
      <c r="BB11" s="52" t="str">
        <f t="shared" si="10"/>
        <v/>
      </c>
      <c r="BC11" s="35"/>
      <c r="BD11" s="30"/>
    </row>
    <row r="12" spans="1:56" x14ac:dyDescent="0.35">
      <c r="A12" s="33"/>
      <c r="B12" s="33"/>
      <c r="C12" s="33"/>
      <c r="D12" s="33"/>
      <c r="E12" s="34"/>
      <c r="F12" s="35"/>
      <c r="G12" s="34"/>
      <c r="H12" s="35"/>
      <c r="I12" s="36"/>
      <c r="J12" s="52" t="str">
        <f t="shared" si="0"/>
        <v/>
      </c>
      <c r="K12" s="52" t="str">
        <f>IF(COUNTA($A12:$I12)&gt;0,IFERROR($H12*Summary!$C$46/Summary!$C$43,0),"")</f>
        <v/>
      </c>
      <c r="L12" s="52" t="str">
        <f>IF(COUNTA($A12:$I12)&gt;0,IFERROR($H12*Summary!$C$47/Summary!$C$43,0),"")</f>
        <v/>
      </c>
      <c r="M12" s="52" t="str">
        <f>IF(COUNTA($A12:$I12)&gt;0,IFERROR($H12*Summary!$C$48/Summary!$C$43,0),"")</f>
        <v/>
      </c>
      <c r="N12" s="52" t="str">
        <f>IF(COUNTA($A12:$I12)&gt;0,IFERROR($H12*Summary!$C$49/Summary!$C$43,0),"")</f>
        <v/>
      </c>
      <c r="O12" s="52" t="str">
        <f t="shared" si="1"/>
        <v/>
      </c>
      <c r="P12" s="52" t="str">
        <f t="shared" si="5"/>
        <v/>
      </c>
      <c r="Q12" s="52" t="str">
        <f t="shared" si="5"/>
        <v/>
      </c>
      <c r="R12" s="52" t="str">
        <f t="shared" si="5"/>
        <v/>
      </c>
      <c r="S12" s="52" t="str">
        <f t="shared" si="5"/>
        <v/>
      </c>
      <c r="T12" s="52" t="str">
        <f t="shared" si="5"/>
        <v/>
      </c>
      <c r="U12" s="52" t="str">
        <f t="shared" si="5"/>
        <v/>
      </c>
      <c r="V12" s="52" t="str">
        <f t="shared" si="5"/>
        <v/>
      </c>
      <c r="W12" s="52" t="str">
        <f t="shared" si="5"/>
        <v/>
      </c>
      <c r="X12" s="52" t="str">
        <f t="shared" si="5"/>
        <v/>
      </c>
      <c r="Y12" s="52" t="str">
        <f t="shared" si="5"/>
        <v/>
      </c>
      <c r="Z12" s="52" t="str">
        <f t="shared" si="5"/>
        <v/>
      </c>
      <c r="AA12" s="52" t="str">
        <f t="shared" si="5"/>
        <v/>
      </c>
      <c r="AB12" s="52" t="str">
        <f t="shared" si="6"/>
        <v/>
      </c>
      <c r="AC12" s="52" t="str">
        <f t="shared" si="7"/>
        <v/>
      </c>
      <c r="AD12" s="52" t="str">
        <f t="shared" si="7"/>
        <v/>
      </c>
      <c r="AE12" s="52" t="str">
        <f t="shared" si="7"/>
        <v/>
      </c>
      <c r="AF12" s="52" t="str">
        <f t="shared" si="7"/>
        <v/>
      </c>
      <c r="AG12" s="52" t="str">
        <f t="shared" si="7"/>
        <v/>
      </c>
      <c r="AH12" s="52" t="str">
        <f t="shared" si="7"/>
        <v/>
      </c>
      <c r="AI12" s="52" t="str">
        <f t="shared" si="7"/>
        <v/>
      </c>
      <c r="AJ12" s="52" t="str">
        <f t="shared" si="7"/>
        <v/>
      </c>
      <c r="AK12" s="52" t="str">
        <f t="shared" si="7"/>
        <v/>
      </c>
      <c r="AL12" s="52" t="str">
        <f t="shared" si="7"/>
        <v/>
      </c>
      <c r="AM12" s="52" t="str">
        <f t="shared" si="7"/>
        <v/>
      </c>
      <c r="AN12" s="52" t="str">
        <f t="shared" si="7"/>
        <v/>
      </c>
      <c r="AO12" s="52" t="str">
        <f t="shared" si="8"/>
        <v/>
      </c>
      <c r="AP12" s="52" t="str">
        <f t="shared" si="9"/>
        <v/>
      </c>
      <c r="AQ12" s="52" t="str">
        <f t="shared" si="9"/>
        <v/>
      </c>
      <c r="AR12" s="52" t="str">
        <f t="shared" si="9"/>
        <v/>
      </c>
      <c r="AS12" s="52" t="str">
        <f t="shared" si="9"/>
        <v/>
      </c>
      <c r="AT12" s="52" t="str">
        <f t="shared" si="9"/>
        <v/>
      </c>
      <c r="AU12" s="52" t="str">
        <f t="shared" si="9"/>
        <v/>
      </c>
      <c r="AV12" s="52" t="str">
        <f t="shared" si="9"/>
        <v/>
      </c>
      <c r="AW12" s="52" t="str">
        <f t="shared" si="9"/>
        <v/>
      </c>
      <c r="AX12" s="52" t="str">
        <f t="shared" si="9"/>
        <v/>
      </c>
      <c r="AY12" s="52" t="str">
        <f t="shared" si="9"/>
        <v/>
      </c>
      <c r="AZ12" s="52" t="str">
        <f t="shared" si="9"/>
        <v/>
      </c>
      <c r="BA12" s="52" t="str">
        <f t="shared" si="9"/>
        <v/>
      </c>
      <c r="BB12" s="52" t="str">
        <f t="shared" si="10"/>
        <v/>
      </c>
      <c r="BC12" s="35"/>
      <c r="BD12" s="30"/>
    </row>
    <row r="13" spans="1:56" x14ac:dyDescent="0.35">
      <c r="A13" s="33"/>
      <c r="B13" s="33"/>
      <c r="C13" s="33"/>
      <c r="D13" s="33"/>
      <c r="E13" s="34"/>
      <c r="F13" s="35"/>
      <c r="G13" s="34"/>
      <c r="H13" s="35"/>
      <c r="I13" s="36"/>
      <c r="J13" s="52" t="str">
        <f t="shared" si="0"/>
        <v/>
      </c>
      <c r="K13" s="52" t="str">
        <f>IF(COUNTA($A13:$I13)&gt;0,IFERROR($H13*Summary!$C$46/Summary!$C$43,0),"")</f>
        <v/>
      </c>
      <c r="L13" s="52" t="str">
        <f>IF(COUNTA($A13:$I13)&gt;0,IFERROR($H13*Summary!$C$47/Summary!$C$43,0),"")</f>
        <v/>
      </c>
      <c r="M13" s="52" t="str">
        <f>IF(COUNTA($A13:$I13)&gt;0,IFERROR($H13*Summary!$C$48/Summary!$C$43,0),"")</f>
        <v/>
      </c>
      <c r="N13" s="52" t="str">
        <f>IF(COUNTA($A13:$I13)&gt;0,IFERROR($H13*Summary!$C$49/Summary!$C$43,0),"")</f>
        <v/>
      </c>
      <c r="O13" s="52" t="str">
        <f t="shared" si="1"/>
        <v/>
      </c>
      <c r="P13" s="52" t="str">
        <f t="shared" si="5"/>
        <v/>
      </c>
      <c r="Q13" s="52" t="str">
        <f t="shared" si="5"/>
        <v/>
      </c>
      <c r="R13" s="52" t="str">
        <f t="shared" si="5"/>
        <v/>
      </c>
      <c r="S13" s="52" t="str">
        <f t="shared" si="5"/>
        <v/>
      </c>
      <c r="T13" s="52" t="str">
        <f t="shared" si="5"/>
        <v/>
      </c>
      <c r="U13" s="52" t="str">
        <f t="shared" si="5"/>
        <v/>
      </c>
      <c r="V13" s="52" t="str">
        <f t="shared" si="5"/>
        <v/>
      </c>
      <c r="W13" s="52" t="str">
        <f t="shared" si="5"/>
        <v/>
      </c>
      <c r="X13" s="52" t="str">
        <f t="shared" si="5"/>
        <v/>
      </c>
      <c r="Y13" s="52" t="str">
        <f t="shared" si="5"/>
        <v/>
      </c>
      <c r="Z13" s="52" t="str">
        <f t="shared" si="5"/>
        <v/>
      </c>
      <c r="AA13" s="52" t="str">
        <f t="shared" si="5"/>
        <v/>
      </c>
      <c r="AB13" s="52" t="str">
        <f t="shared" si="6"/>
        <v/>
      </c>
      <c r="AC13" s="52" t="str">
        <f t="shared" si="7"/>
        <v/>
      </c>
      <c r="AD13" s="52" t="str">
        <f t="shared" si="7"/>
        <v/>
      </c>
      <c r="AE13" s="52" t="str">
        <f t="shared" si="7"/>
        <v/>
      </c>
      <c r="AF13" s="52" t="str">
        <f t="shared" si="7"/>
        <v/>
      </c>
      <c r="AG13" s="52" t="str">
        <f t="shared" si="7"/>
        <v/>
      </c>
      <c r="AH13" s="52" t="str">
        <f t="shared" si="7"/>
        <v/>
      </c>
      <c r="AI13" s="52" t="str">
        <f t="shared" si="7"/>
        <v/>
      </c>
      <c r="AJ13" s="52" t="str">
        <f t="shared" si="7"/>
        <v/>
      </c>
      <c r="AK13" s="52" t="str">
        <f t="shared" si="7"/>
        <v/>
      </c>
      <c r="AL13" s="52" t="str">
        <f t="shared" si="7"/>
        <v/>
      </c>
      <c r="AM13" s="52" t="str">
        <f t="shared" si="7"/>
        <v/>
      </c>
      <c r="AN13" s="52" t="str">
        <f t="shared" si="7"/>
        <v/>
      </c>
      <c r="AO13" s="52" t="str">
        <f t="shared" si="8"/>
        <v/>
      </c>
      <c r="AP13" s="52" t="str">
        <f t="shared" si="9"/>
        <v/>
      </c>
      <c r="AQ13" s="52" t="str">
        <f t="shared" si="9"/>
        <v/>
      </c>
      <c r="AR13" s="52" t="str">
        <f t="shared" si="9"/>
        <v/>
      </c>
      <c r="AS13" s="52" t="str">
        <f t="shared" si="9"/>
        <v/>
      </c>
      <c r="AT13" s="52" t="str">
        <f t="shared" si="9"/>
        <v/>
      </c>
      <c r="AU13" s="52" t="str">
        <f t="shared" si="9"/>
        <v/>
      </c>
      <c r="AV13" s="52" t="str">
        <f t="shared" si="9"/>
        <v/>
      </c>
      <c r="AW13" s="52" t="str">
        <f t="shared" si="9"/>
        <v/>
      </c>
      <c r="AX13" s="52" t="str">
        <f t="shared" si="9"/>
        <v/>
      </c>
      <c r="AY13" s="52" t="str">
        <f t="shared" si="9"/>
        <v/>
      </c>
      <c r="AZ13" s="52" t="str">
        <f t="shared" si="9"/>
        <v/>
      </c>
      <c r="BA13" s="52" t="str">
        <f t="shared" si="9"/>
        <v/>
      </c>
      <c r="BB13" s="52" t="str">
        <f t="shared" si="10"/>
        <v/>
      </c>
      <c r="BC13" s="35"/>
      <c r="BD13" s="30"/>
    </row>
    <row r="14" spans="1:56" x14ac:dyDescent="0.35">
      <c r="A14" s="33"/>
      <c r="B14" s="33"/>
      <c r="C14" s="33"/>
      <c r="D14" s="33"/>
      <c r="E14" s="34"/>
      <c r="F14" s="35"/>
      <c r="G14" s="34"/>
      <c r="H14" s="35"/>
      <c r="I14" s="36"/>
      <c r="J14" s="52" t="str">
        <f t="shared" si="0"/>
        <v/>
      </c>
      <c r="K14" s="52" t="str">
        <f>IF(COUNTA($A14:$I14)&gt;0,IFERROR($H14*Summary!$C$46/Summary!$C$43,0),"")</f>
        <v/>
      </c>
      <c r="L14" s="52" t="str">
        <f>IF(COUNTA($A14:$I14)&gt;0,IFERROR($H14*Summary!$C$47/Summary!$C$43,0),"")</f>
        <v/>
      </c>
      <c r="M14" s="52" t="str">
        <f>IF(COUNTA($A14:$I14)&gt;0,IFERROR($H14*Summary!$C$48/Summary!$C$43,0),"")</f>
        <v/>
      </c>
      <c r="N14" s="52" t="str">
        <f>IF(COUNTA($A14:$I14)&gt;0,IFERROR($H14*Summary!$C$49/Summary!$C$43,0),"")</f>
        <v/>
      </c>
      <c r="O14" s="52" t="str">
        <f t="shared" si="1"/>
        <v/>
      </c>
      <c r="P14" s="52" t="str">
        <f t="shared" si="5"/>
        <v/>
      </c>
      <c r="Q14" s="52" t="str">
        <f t="shared" si="5"/>
        <v/>
      </c>
      <c r="R14" s="52" t="str">
        <f t="shared" si="5"/>
        <v/>
      </c>
      <c r="S14" s="52" t="str">
        <f t="shared" si="5"/>
        <v/>
      </c>
      <c r="T14" s="52" t="str">
        <f t="shared" si="5"/>
        <v/>
      </c>
      <c r="U14" s="52" t="str">
        <f t="shared" si="5"/>
        <v/>
      </c>
      <c r="V14" s="52" t="str">
        <f t="shared" si="5"/>
        <v/>
      </c>
      <c r="W14" s="52" t="str">
        <f t="shared" si="5"/>
        <v/>
      </c>
      <c r="X14" s="52" t="str">
        <f t="shared" si="5"/>
        <v/>
      </c>
      <c r="Y14" s="52" t="str">
        <f t="shared" si="5"/>
        <v/>
      </c>
      <c r="Z14" s="52" t="str">
        <f t="shared" si="5"/>
        <v/>
      </c>
      <c r="AA14" s="52" t="str">
        <f t="shared" si="5"/>
        <v/>
      </c>
      <c r="AB14" s="52" t="str">
        <f t="shared" si="6"/>
        <v/>
      </c>
      <c r="AC14" s="52" t="str">
        <f t="shared" si="7"/>
        <v/>
      </c>
      <c r="AD14" s="52" t="str">
        <f t="shared" si="7"/>
        <v/>
      </c>
      <c r="AE14" s="52" t="str">
        <f t="shared" si="7"/>
        <v/>
      </c>
      <c r="AF14" s="52" t="str">
        <f t="shared" si="7"/>
        <v/>
      </c>
      <c r="AG14" s="52" t="str">
        <f t="shared" si="7"/>
        <v/>
      </c>
      <c r="AH14" s="52" t="str">
        <f t="shared" si="7"/>
        <v/>
      </c>
      <c r="AI14" s="52" t="str">
        <f t="shared" si="7"/>
        <v/>
      </c>
      <c r="AJ14" s="52" t="str">
        <f t="shared" si="7"/>
        <v/>
      </c>
      <c r="AK14" s="52" t="str">
        <f t="shared" si="7"/>
        <v/>
      </c>
      <c r="AL14" s="52" t="str">
        <f t="shared" si="7"/>
        <v/>
      </c>
      <c r="AM14" s="52" t="str">
        <f t="shared" si="7"/>
        <v/>
      </c>
      <c r="AN14" s="52" t="str">
        <f t="shared" si="7"/>
        <v/>
      </c>
      <c r="AO14" s="52" t="str">
        <f t="shared" si="8"/>
        <v/>
      </c>
      <c r="AP14" s="52" t="str">
        <f t="shared" si="9"/>
        <v/>
      </c>
      <c r="AQ14" s="52" t="str">
        <f t="shared" si="9"/>
        <v/>
      </c>
      <c r="AR14" s="52" t="str">
        <f t="shared" si="9"/>
        <v/>
      </c>
      <c r="AS14" s="52" t="str">
        <f t="shared" si="9"/>
        <v/>
      </c>
      <c r="AT14" s="52" t="str">
        <f t="shared" si="9"/>
        <v/>
      </c>
      <c r="AU14" s="52" t="str">
        <f t="shared" si="9"/>
        <v/>
      </c>
      <c r="AV14" s="52" t="str">
        <f t="shared" si="9"/>
        <v/>
      </c>
      <c r="AW14" s="52" t="str">
        <f t="shared" si="9"/>
        <v/>
      </c>
      <c r="AX14" s="52" t="str">
        <f t="shared" si="9"/>
        <v/>
      </c>
      <c r="AY14" s="52" t="str">
        <f t="shared" si="9"/>
        <v/>
      </c>
      <c r="AZ14" s="52" t="str">
        <f t="shared" si="9"/>
        <v/>
      </c>
      <c r="BA14" s="52" t="str">
        <f t="shared" si="9"/>
        <v/>
      </c>
      <c r="BB14" s="52" t="str">
        <f t="shared" si="10"/>
        <v/>
      </c>
      <c r="BC14" s="35"/>
      <c r="BD14" s="30"/>
    </row>
    <row r="15" spans="1:56" x14ac:dyDescent="0.35">
      <c r="A15" s="33"/>
      <c r="B15" s="33"/>
      <c r="C15" s="33"/>
      <c r="D15" s="33"/>
      <c r="E15" s="34"/>
      <c r="F15" s="35"/>
      <c r="G15" s="34"/>
      <c r="H15" s="35"/>
      <c r="I15" s="36"/>
      <c r="J15" s="52" t="str">
        <f t="shared" si="0"/>
        <v/>
      </c>
      <c r="K15" s="52" t="str">
        <f>IF(COUNTA($A15:$I15)&gt;0,IFERROR($H15*Summary!$C$46/Summary!$C$43,0),"")</f>
        <v/>
      </c>
      <c r="L15" s="52" t="str">
        <f>IF(COUNTA($A15:$I15)&gt;0,IFERROR($H15*Summary!$C$47/Summary!$C$43,0),"")</f>
        <v/>
      </c>
      <c r="M15" s="52" t="str">
        <f>IF(COUNTA($A15:$I15)&gt;0,IFERROR($H15*Summary!$C$48/Summary!$C$43,0),"")</f>
        <v/>
      </c>
      <c r="N15" s="52" t="str">
        <f>IF(COUNTA($A15:$I15)&gt;0,IFERROR($H15*Summary!$C$49/Summary!$C$43,0),"")</f>
        <v/>
      </c>
      <c r="O15" s="52" t="str">
        <f t="shared" si="1"/>
        <v/>
      </c>
      <c r="P15" s="52" t="str">
        <f t="shared" si="5"/>
        <v/>
      </c>
      <c r="Q15" s="52" t="str">
        <f t="shared" si="5"/>
        <v/>
      </c>
      <c r="R15" s="52" t="str">
        <f t="shared" si="5"/>
        <v/>
      </c>
      <c r="S15" s="52" t="str">
        <f t="shared" si="5"/>
        <v/>
      </c>
      <c r="T15" s="52" t="str">
        <f t="shared" si="5"/>
        <v/>
      </c>
      <c r="U15" s="52" t="str">
        <f t="shared" si="5"/>
        <v/>
      </c>
      <c r="V15" s="52" t="str">
        <f t="shared" si="5"/>
        <v/>
      </c>
      <c r="W15" s="52" t="str">
        <f t="shared" si="5"/>
        <v/>
      </c>
      <c r="X15" s="52" t="str">
        <f t="shared" si="5"/>
        <v/>
      </c>
      <c r="Y15" s="52" t="str">
        <f t="shared" si="5"/>
        <v/>
      </c>
      <c r="Z15" s="52" t="str">
        <f t="shared" si="5"/>
        <v/>
      </c>
      <c r="AA15" s="52" t="str">
        <f t="shared" si="5"/>
        <v/>
      </c>
      <c r="AB15" s="52" t="str">
        <f t="shared" si="6"/>
        <v/>
      </c>
      <c r="AC15" s="52" t="str">
        <f t="shared" si="7"/>
        <v/>
      </c>
      <c r="AD15" s="52" t="str">
        <f t="shared" si="7"/>
        <v/>
      </c>
      <c r="AE15" s="52" t="str">
        <f t="shared" si="7"/>
        <v/>
      </c>
      <c r="AF15" s="52" t="str">
        <f t="shared" si="7"/>
        <v/>
      </c>
      <c r="AG15" s="52" t="str">
        <f t="shared" si="7"/>
        <v/>
      </c>
      <c r="AH15" s="52" t="str">
        <f t="shared" si="7"/>
        <v/>
      </c>
      <c r="AI15" s="52" t="str">
        <f t="shared" si="7"/>
        <v/>
      </c>
      <c r="AJ15" s="52" t="str">
        <f t="shared" si="7"/>
        <v/>
      </c>
      <c r="AK15" s="52" t="str">
        <f t="shared" si="7"/>
        <v/>
      </c>
      <c r="AL15" s="52" t="str">
        <f t="shared" si="7"/>
        <v/>
      </c>
      <c r="AM15" s="52" t="str">
        <f t="shared" si="7"/>
        <v/>
      </c>
      <c r="AN15" s="52" t="str">
        <f t="shared" si="7"/>
        <v/>
      </c>
      <c r="AO15" s="52" t="str">
        <f t="shared" si="8"/>
        <v/>
      </c>
      <c r="AP15" s="52" t="str">
        <f t="shared" si="9"/>
        <v/>
      </c>
      <c r="AQ15" s="52" t="str">
        <f t="shared" si="9"/>
        <v/>
      </c>
      <c r="AR15" s="52" t="str">
        <f t="shared" si="9"/>
        <v/>
      </c>
      <c r="AS15" s="52" t="str">
        <f t="shared" si="9"/>
        <v/>
      </c>
      <c r="AT15" s="52" t="str">
        <f t="shared" si="9"/>
        <v/>
      </c>
      <c r="AU15" s="52" t="str">
        <f t="shared" si="9"/>
        <v/>
      </c>
      <c r="AV15" s="52" t="str">
        <f t="shared" si="9"/>
        <v/>
      </c>
      <c r="AW15" s="52" t="str">
        <f t="shared" si="9"/>
        <v/>
      </c>
      <c r="AX15" s="52" t="str">
        <f t="shared" si="9"/>
        <v/>
      </c>
      <c r="AY15" s="52" t="str">
        <f t="shared" si="9"/>
        <v/>
      </c>
      <c r="AZ15" s="52" t="str">
        <f t="shared" si="9"/>
        <v/>
      </c>
      <c r="BA15" s="52" t="str">
        <f t="shared" si="9"/>
        <v/>
      </c>
      <c r="BB15" s="52" t="str">
        <f t="shared" si="10"/>
        <v/>
      </c>
      <c r="BC15" s="35"/>
      <c r="BD15" s="30"/>
    </row>
    <row r="16" spans="1:56" x14ac:dyDescent="0.35">
      <c r="A16" s="33"/>
      <c r="B16" s="33"/>
      <c r="C16" s="33"/>
      <c r="D16" s="33"/>
      <c r="E16" s="34"/>
      <c r="F16" s="35"/>
      <c r="G16" s="34"/>
      <c r="H16" s="35"/>
      <c r="I16" s="36"/>
      <c r="J16" s="52" t="str">
        <f t="shared" si="0"/>
        <v/>
      </c>
      <c r="K16" s="52" t="str">
        <f>IF(COUNTA($A16:$I16)&gt;0,IFERROR($H16*Summary!$C$46/Summary!$C$43,0),"")</f>
        <v/>
      </c>
      <c r="L16" s="52" t="str">
        <f>IF(COUNTA($A16:$I16)&gt;0,IFERROR($H16*Summary!$C$47/Summary!$C$43,0),"")</f>
        <v/>
      </c>
      <c r="M16" s="52" t="str">
        <f>IF(COUNTA($A16:$I16)&gt;0,IFERROR($H16*Summary!$C$48/Summary!$C$43,0),"")</f>
        <v/>
      </c>
      <c r="N16" s="52" t="str">
        <f>IF(COUNTA($A16:$I16)&gt;0,IFERROR($H16*Summary!$C$49/Summary!$C$43,0),"")</f>
        <v/>
      </c>
      <c r="O16" s="52" t="str">
        <f t="shared" si="1"/>
        <v/>
      </c>
      <c r="P16" s="52" t="str">
        <f t="shared" si="5"/>
        <v/>
      </c>
      <c r="Q16" s="52" t="str">
        <f t="shared" si="5"/>
        <v/>
      </c>
      <c r="R16" s="52" t="str">
        <f t="shared" si="5"/>
        <v/>
      </c>
      <c r="S16" s="52" t="str">
        <f t="shared" si="5"/>
        <v/>
      </c>
      <c r="T16" s="52" t="str">
        <f t="shared" si="5"/>
        <v/>
      </c>
      <c r="U16" s="52" t="str">
        <f t="shared" si="5"/>
        <v/>
      </c>
      <c r="V16" s="52" t="str">
        <f t="shared" si="5"/>
        <v/>
      </c>
      <c r="W16" s="52" t="str">
        <f t="shared" si="5"/>
        <v/>
      </c>
      <c r="X16" s="52" t="str">
        <f t="shared" si="5"/>
        <v/>
      </c>
      <c r="Y16" s="52" t="str">
        <f t="shared" si="5"/>
        <v/>
      </c>
      <c r="Z16" s="52" t="str">
        <f t="shared" si="5"/>
        <v/>
      </c>
      <c r="AA16" s="52" t="str">
        <f t="shared" si="5"/>
        <v/>
      </c>
      <c r="AB16" s="52" t="str">
        <f t="shared" si="6"/>
        <v/>
      </c>
      <c r="AC16" s="52" t="str">
        <f t="shared" si="7"/>
        <v/>
      </c>
      <c r="AD16" s="52" t="str">
        <f t="shared" si="7"/>
        <v/>
      </c>
      <c r="AE16" s="52" t="str">
        <f t="shared" si="7"/>
        <v/>
      </c>
      <c r="AF16" s="52" t="str">
        <f t="shared" si="7"/>
        <v/>
      </c>
      <c r="AG16" s="52" t="str">
        <f t="shared" si="7"/>
        <v/>
      </c>
      <c r="AH16" s="52" t="str">
        <f t="shared" si="7"/>
        <v/>
      </c>
      <c r="AI16" s="52" t="str">
        <f t="shared" si="7"/>
        <v/>
      </c>
      <c r="AJ16" s="52" t="str">
        <f t="shared" si="7"/>
        <v/>
      </c>
      <c r="AK16" s="52" t="str">
        <f t="shared" si="7"/>
        <v/>
      </c>
      <c r="AL16" s="52" t="str">
        <f t="shared" si="7"/>
        <v/>
      </c>
      <c r="AM16" s="52" t="str">
        <f t="shared" si="7"/>
        <v/>
      </c>
      <c r="AN16" s="52" t="str">
        <f t="shared" si="7"/>
        <v/>
      </c>
      <c r="AO16" s="52" t="str">
        <f t="shared" si="8"/>
        <v/>
      </c>
      <c r="AP16" s="52" t="str">
        <f t="shared" si="9"/>
        <v/>
      </c>
      <c r="AQ16" s="52" t="str">
        <f t="shared" si="9"/>
        <v/>
      </c>
      <c r="AR16" s="52" t="str">
        <f t="shared" si="9"/>
        <v/>
      </c>
      <c r="AS16" s="52" t="str">
        <f t="shared" si="9"/>
        <v/>
      </c>
      <c r="AT16" s="52" t="str">
        <f t="shared" si="9"/>
        <v/>
      </c>
      <c r="AU16" s="52" t="str">
        <f t="shared" si="9"/>
        <v/>
      </c>
      <c r="AV16" s="52" t="str">
        <f t="shared" si="9"/>
        <v/>
      </c>
      <c r="AW16" s="52" t="str">
        <f t="shared" si="9"/>
        <v/>
      </c>
      <c r="AX16" s="52" t="str">
        <f t="shared" si="9"/>
        <v/>
      </c>
      <c r="AY16" s="52" t="str">
        <f t="shared" si="9"/>
        <v/>
      </c>
      <c r="AZ16" s="52" t="str">
        <f t="shared" si="9"/>
        <v/>
      </c>
      <c r="BA16" s="52" t="str">
        <f t="shared" si="9"/>
        <v/>
      </c>
      <c r="BB16" s="52" t="str">
        <f t="shared" si="10"/>
        <v/>
      </c>
      <c r="BC16" s="35"/>
      <c r="BD16" s="30"/>
    </row>
    <row r="17" spans="1:56" x14ac:dyDescent="0.35">
      <c r="A17" s="33"/>
      <c r="B17" s="33"/>
      <c r="C17" s="33"/>
      <c r="D17" s="33"/>
      <c r="E17" s="34"/>
      <c r="F17" s="35"/>
      <c r="G17" s="34"/>
      <c r="H17" s="35"/>
      <c r="I17" s="36"/>
      <c r="J17" s="52" t="str">
        <f t="shared" si="0"/>
        <v/>
      </c>
      <c r="K17" s="52" t="str">
        <f>IF(COUNTA($A17:$I17)&gt;0,IFERROR($H17*Summary!$C$46/Summary!$C$43,0),"")</f>
        <v/>
      </c>
      <c r="L17" s="52" t="str">
        <f>IF(COUNTA($A17:$I17)&gt;0,IFERROR($H17*Summary!$C$47/Summary!$C$43,0),"")</f>
        <v/>
      </c>
      <c r="M17" s="52" t="str">
        <f>IF(COUNTA($A17:$I17)&gt;0,IFERROR($H17*Summary!$C$48/Summary!$C$43,0),"")</f>
        <v/>
      </c>
      <c r="N17" s="52" t="str">
        <f>IF(COUNTA($A17:$I17)&gt;0,IFERROR($H17*Summary!$C$49/Summary!$C$43,0),"")</f>
        <v/>
      </c>
      <c r="O17" s="52" t="str">
        <f t="shared" si="1"/>
        <v/>
      </c>
      <c r="P17" s="52" t="str">
        <f t="shared" si="5"/>
        <v/>
      </c>
      <c r="Q17" s="52" t="str">
        <f t="shared" si="5"/>
        <v/>
      </c>
      <c r="R17" s="52" t="str">
        <f t="shared" si="5"/>
        <v/>
      </c>
      <c r="S17" s="52" t="str">
        <f t="shared" si="5"/>
        <v/>
      </c>
      <c r="T17" s="52" t="str">
        <f t="shared" si="5"/>
        <v/>
      </c>
      <c r="U17" s="52" t="str">
        <f t="shared" si="5"/>
        <v/>
      </c>
      <c r="V17" s="52" t="str">
        <f t="shared" si="5"/>
        <v/>
      </c>
      <c r="W17" s="52" t="str">
        <f t="shared" si="5"/>
        <v/>
      </c>
      <c r="X17" s="52" t="str">
        <f t="shared" si="5"/>
        <v/>
      </c>
      <c r="Y17" s="52" t="str">
        <f t="shared" si="5"/>
        <v/>
      </c>
      <c r="Z17" s="52" t="str">
        <f t="shared" si="5"/>
        <v/>
      </c>
      <c r="AA17" s="52" t="str">
        <f t="shared" si="5"/>
        <v/>
      </c>
      <c r="AB17" s="52" t="str">
        <f t="shared" si="6"/>
        <v/>
      </c>
      <c r="AC17" s="52" t="str">
        <f t="shared" si="7"/>
        <v/>
      </c>
      <c r="AD17" s="52" t="str">
        <f t="shared" si="7"/>
        <v/>
      </c>
      <c r="AE17" s="52" t="str">
        <f t="shared" si="7"/>
        <v/>
      </c>
      <c r="AF17" s="52" t="str">
        <f t="shared" si="7"/>
        <v/>
      </c>
      <c r="AG17" s="52" t="str">
        <f t="shared" si="7"/>
        <v/>
      </c>
      <c r="AH17" s="52" t="str">
        <f t="shared" si="7"/>
        <v/>
      </c>
      <c r="AI17" s="52" t="str">
        <f t="shared" si="7"/>
        <v/>
      </c>
      <c r="AJ17" s="52" t="str">
        <f t="shared" si="7"/>
        <v/>
      </c>
      <c r="AK17" s="52" t="str">
        <f t="shared" si="7"/>
        <v/>
      </c>
      <c r="AL17" s="52" t="str">
        <f t="shared" si="7"/>
        <v/>
      </c>
      <c r="AM17" s="52" t="str">
        <f t="shared" si="7"/>
        <v/>
      </c>
      <c r="AN17" s="52" t="str">
        <f t="shared" si="7"/>
        <v/>
      </c>
      <c r="AO17" s="52" t="str">
        <f t="shared" si="8"/>
        <v/>
      </c>
      <c r="AP17" s="52" t="str">
        <f t="shared" si="9"/>
        <v/>
      </c>
      <c r="AQ17" s="52" t="str">
        <f t="shared" si="9"/>
        <v/>
      </c>
      <c r="AR17" s="52" t="str">
        <f t="shared" si="9"/>
        <v/>
      </c>
      <c r="AS17" s="52" t="str">
        <f t="shared" si="9"/>
        <v/>
      </c>
      <c r="AT17" s="52" t="str">
        <f t="shared" si="9"/>
        <v/>
      </c>
      <c r="AU17" s="52" t="str">
        <f t="shared" si="9"/>
        <v/>
      </c>
      <c r="AV17" s="52" t="str">
        <f t="shared" si="9"/>
        <v/>
      </c>
      <c r="AW17" s="52" t="str">
        <f t="shared" si="9"/>
        <v/>
      </c>
      <c r="AX17" s="52" t="str">
        <f t="shared" si="9"/>
        <v/>
      </c>
      <c r="AY17" s="52" t="str">
        <f t="shared" si="9"/>
        <v/>
      </c>
      <c r="AZ17" s="52" t="str">
        <f t="shared" si="9"/>
        <v/>
      </c>
      <c r="BA17" s="52" t="str">
        <f t="shared" si="9"/>
        <v/>
      </c>
      <c r="BB17" s="52" t="str">
        <f t="shared" si="10"/>
        <v/>
      </c>
      <c r="BC17" s="35"/>
      <c r="BD17" s="30"/>
    </row>
    <row r="18" spans="1:56" x14ac:dyDescent="0.35">
      <c r="A18" s="33"/>
      <c r="B18" s="33"/>
      <c r="C18" s="33"/>
      <c r="D18" s="33"/>
      <c r="E18" s="34"/>
      <c r="F18" s="35"/>
      <c r="G18" s="34"/>
      <c r="H18" s="35"/>
      <c r="I18" s="36"/>
      <c r="J18" s="52" t="str">
        <f t="shared" si="0"/>
        <v/>
      </c>
      <c r="K18" s="52" t="str">
        <f>IF(COUNTA($A18:$I18)&gt;0,IFERROR($H18*Summary!$C$46/Summary!$C$43,0),"")</f>
        <v/>
      </c>
      <c r="L18" s="52" t="str">
        <f>IF(COUNTA($A18:$I18)&gt;0,IFERROR($H18*Summary!$C$47/Summary!$C$43,0),"")</f>
        <v/>
      </c>
      <c r="M18" s="52" t="str">
        <f>IF(COUNTA($A18:$I18)&gt;0,IFERROR($H18*Summary!$C$48/Summary!$C$43,0),"")</f>
        <v/>
      </c>
      <c r="N18" s="52" t="str">
        <f>IF(COUNTA($A18:$I18)&gt;0,IFERROR($H18*Summary!$C$49/Summary!$C$43,0),"")</f>
        <v/>
      </c>
      <c r="O18" s="52" t="str">
        <f t="shared" si="1"/>
        <v/>
      </c>
      <c r="P18" s="52" t="str">
        <f t="shared" si="5"/>
        <v/>
      </c>
      <c r="Q18" s="52" t="str">
        <f t="shared" si="5"/>
        <v/>
      </c>
      <c r="R18" s="52" t="str">
        <f t="shared" si="5"/>
        <v/>
      </c>
      <c r="S18" s="52" t="str">
        <f t="shared" si="5"/>
        <v/>
      </c>
      <c r="T18" s="52" t="str">
        <f t="shared" si="5"/>
        <v/>
      </c>
      <c r="U18" s="52" t="str">
        <f t="shared" si="5"/>
        <v/>
      </c>
      <c r="V18" s="52" t="str">
        <f t="shared" si="5"/>
        <v/>
      </c>
      <c r="W18" s="52" t="str">
        <f t="shared" si="5"/>
        <v/>
      </c>
      <c r="X18" s="52" t="str">
        <f t="shared" si="5"/>
        <v/>
      </c>
      <c r="Y18" s="52" t="str">
        <f t="shared" si="5"/>
        <v/>
      </c>
      <c r="Z18" s="52" t="str">
        <f t="shared" si="5"/>
        <v/>
      </c>
      <c r="AA18" s="52" t="str">
        <f t="shared" si="5"/>
        <v/>
      </c>
      <c r="AB18" s="52" t="str">
        <f t="shared" si="6"/>
        <v/>
      </c>
      <c r="AC18" s="52" t="str">
        <f t="shared" si="7"/>
        <v/>
      </c>
      <c r="AD18" s="52" t="str">
        <f t="shared" si="7"/>
        <v/>
      </c>
      <c r="AE18" s="52" t="str">
        <f t="shared" si="7"/>
        <v/>
      </c>
      <c r="AF18" s="52" t="str">
        <f t="shared" si="7"/>
        <v/>
      </c>
      <c r="AG18" s="52" t="str">
        <f t="shared" si="7"/>
        <v/>
      </c>
      <c r="AH18" s="52" t="str">
        <f t="shared" si="7"/>
        <v/>
      </c>
      <c r="AI18" s="52" t="str">
        <f t="shared" si="7"/>
        <v/>
      </c>
      <c r="AJ18" s="52" t="str">
        <f t="shared" si="7"/>
        <v/>
      </c>
      <c r="AK18" s="52" t="str">
        <f t="shared" si="7"/>
        <v/>
      </c>
      <c r="AL18" s="52" t="str">
        <f t="shared" si="7"/>
        <v/>
      </c>
      <c r="AM18" s="52" t="str">
        <f t="shared" si="7"/>
        <v/>
      </c>
      <c r="AN18" s="52" t="str">
        <f t="shared" si="7"/>
        <v/>
      </c>
      <c r="AO18" s="52" t="str">
        <f t="shared" si="8"/>
        <v/>
      </c>
      <c r="AP18" s="52" t="str">
        <f t="shared" si="9"/>
        <v/>
      </c>
      <c r="AQ18" s="52" t="str">
        <f t="shared" si="9"/>
        <v/>
      </c>
      <c r="AR18" s="52" t="str">
        <f t="shared" si="9"/>
        <v/>
      </c>
      <c r="AS18" s="52" t="str">
        <f t="shared" si="9"/>
        <v/>
      </c>
      <c r="AT18" s="52" t="str">
        <f t="shared" si="9"/>
        <v/>
      </c>
      <c r="AU18" s="52" t="str">
        <f t="shared" si="9"/>
        <v/>
      </c>
      <c r="AV18" s="52" t="str">
        <f t="shared" si="9"/>
        <v/>
      </c>
      <c r="AW18" s="52" t="str">
        <f t="shared" si="9"/>
        <v/>
      </c>
      <c r="AX18" s="52" t="str">
        <f t="shared" si="9"/>
        <v/>
      </c>
      <c r="AY18" s="52" t="str">
        <f t="shared" si="9"/>
        <v/>
      </c>
      <c r="AZ18" s="52" t="str">
        <f t="shared" si="9"/>
        <v/>
      </c>
      <c r="BA18" s="52" t="str">
        <f t="shared" si="9"/>
        <v/>
      </c>
      <c r="BB18" s="52" t="str">
        <f t="shared" si="10"/>
        <v/>
      </c>
      <c r="BC18" s="35"/>
      <c r="BD18" s="30"/>
    </row>
    <row r="19" spans="1:56" x14ac:dyDescent="0.35">
      <c r="A19" s="33"/>
      <c r="B19" s="33"/>
      <c r="C19" s="33"/>
      <c r="D19" s="33"/>
      <c r="E19" s="34"/>
      <c r="F19" s="35"/>
      <c r="G19" s="34"/>
      <c r="H19" s="35"/>
      <c r="I19" s="36"/>
      <c r="J19" s="52" t="str">
        <f t="shared" si="0"/>
        <v/>
      </c>
      <c r="K19" s="52" t="str">
        <f>IF(COUNTA($A19:$I19)&gt;0,IFERROR($H19*Summary!$C$46/Summary!$C$43,0),"")</f>
        <v/>
      </c>
      <c r="L19" s="52" t="str">
        <f>IF(COUNTA($A19:$I19)&gt;0,IFERROR($H19*Summary!$C$47/Summary!$C$43,0),"")</f>
        <v/>
      </c>
      <c r="M19" s="52" t="str">
        <f>IF(COUNTA($A19:$I19)&gt;0,IFERROR($H19*Summary!$C$48/Summary!$C$43,0),"")</f>
        <v/>
      </c>
      <c r="N19" s="52" t="str">
        <f>IF(COUNTA($A19:$I19)&gt;0,IFERROR($H19*Summary!$C$49/Summary!$C$43,0),"")</f>
        <v/>
      </c>
      <c r="O19" s="52" t="str">
        <f t="shared" si="1"/>
        <v/>
      </c>
      <c r="P19" s="52" t="str">
        <f t="shared" si="5"/>
        <v/>
      </c>
      <c r="Q19" s="52" t="str">
        <f t="shared" si="5"/>
        <v/>
      </c>
      <c r="R19" s="52" t="str">
        <f t="shared" si="5"/>
        <v/>
      </c>
      <c r="S19" s="52" t="str">
        <f t="shared" si="5"/>
        <v/>
      </c>
      <c r="T19" s="52" t="str">
        <f t="shared" si="5"/>
        <v/>
      </c>
      <c r="U19" s="52" t="str">
        <f t="shared" si="5"/>
        <v/>
      </c>
      <c r="V19" s="52" t="str">
        <f t="shared" si="5"/>
        <v/>
      </c>
      <c r="W19" s="52" t="str">
        <f t="shared" si="5"/>
        <v/>
      </c>
      <c r="X19" s="52" t="str">
        <f t="shared" si="5"/>
        <v/>
      </c>
      <c r="Y19" s="52" t="str">
        <f t="shared" si="5"/>
        <v/>
      </c>
      <c r="Z19" s="52" t="str">
        <f t="shared" si="5"/>
        <v/>
      </c>
      <c r="AA19" s="52" t="str">
        <f t="shared" si="5"/>
        <v/>
      </c>
      <c r="AB19" s="52" t="str">
        <f t="shared" si="6"/>
        <v/>
      </c>
      <c r="AC19" s="52" t="str">
        <f t="shared" si="7"/>
        <v/>
      </c>
      <c r="AD19" s="52" t="str">
        <f t="shared" si="7"/>
        <v/>
      </c>
      <c r="AE19" s="52" t="str">
        <f t="shared" si="7"/>
        <v/>
      </c>
      <c r="AF19" s="52" t="str">
        <f t="shared" si="7"/>
        <v/>
      </c>
      <c r="AG19" s="52" t="str">
        <f t="shared" si="7"/>
        <v/>
      </c>
      <c r="AH19" s="52" t="str">
        <f t="shared" si="7"/>
        <v/>
      </c>
      <c r="AI19" s="52" t="str">
        <f t="shared" si="7"/>
        <v/>
      </c>
      <c r="AJ19" s="52" t="str">
        <f t="shared" si="7"/>
        <v/>
      </c>
      <c r="AK19" s="52" t="str">
        <f t="shared" si="7"/>
        <v/>
      </c>
      <c r="AL19" s="52" t="str">
        <f t="shared" si="7"/>
        <v/>
      </c>
      <c r="AM19" s="52" t="str">
        <f t="shared" si="7"/>
        <v/>
      </c>
      <c r="AN19" s="52" t="str">
        <f t="shared" si="7"/>
        <v/>
      </c>
      <c r="AO19" s="52" t="str">
        <f t="shared" si="8"/>
        <v/>
      </c>
      <c r="AP19" s="52" t="str">
        <f t="shared" si="9"/>
        <v/>
      </c>
      <c r="AQ19" s="52" t="str">
        <f t="shared" si="9"/>
        <v/>
      </c>
      <c r="AR19" s="52" t="str">
        <f t="shared" si="9"/>
        <v/>
      </c>
      <c r="AS19" s="52" t="str">
        <f t="shared" si="9"/>
        <v/>
      </c>
      <c r="AT19" s="52" t="str">
        <f t="shared" si="9"/>
        <v/>
      </c>
      <c r="AU19" s="52" t="str">
        <f t="shared" si="9"/>
        <v/>
      </c>
      <c r="AV19" s="52" t="str">
        <f t="shared" si="9"/>
        <v/>
      </c>
      <c r="AW19" s="52" t="str">
        <f t="shared" si="9"/>
        <v/>
      </c>
      <c r="AX19" s="52" t="str">
        <f t="shared" si="9"/>
        <v/>
      </c>
      <c r="AY19" s="52" t="str">
        <f t="shared" si="9"/>
        <v/>
      </c>
      <c r="AZ19" s="52" t="str">
        <f t="shared" si="9"/>
        <v/>
      </c>
      <c r="BA19" s="52" t="str">
        <f t="shared" si="9"/>
        <v/>
      </c>
      <c r="BB19" s="52" t="str">
        <f t="shared" si="10"/>
        <v/>
      </c>
      <c r="BC19" s="35"/>
      <c r="BD19" s="30"/>
    </row>
    <row r="20" spans="1:56" x14ac:dyDescent="0.35">
      <c r="A20" s="33"/>
      <c r="B20" s="33"/>
      <c r="C20" s="33"/>
      <c r="D20" s="33"/>
      <c r="E20" s="34"/>
      <c r="F20" s="35"/>
      <c r="G20" s="34"/>
      <c r="H20" s="35"/>
      <c r="I20" s="36"/>
      <c r="J20" s="52" t="str">
        <f t="shared" si="0"/>
        <v/>
      </c>
      <c r="K20" s="52" t="str">
        <f>IF(COUNTA($A20:$I20)&gt;0,IFERROR($H20*Summary!$C$46/Summary!$C$43,0),"")</f>
        <v/>
      </c>
      <c r="L20" s="52" t="str">
        <f>IF(COUNTA($A20:$I20)&gt;0,IFERROR($H20*Summary!$C$47/Summary!$C$43,0),"")</f>
        <v/>
      </c>
      <c r="M20" s="52" t="str">
        <f>IF(COUNTA($A20:$I20)&gt;0,IFERROR($H20*Summary!$C$48/Summary!$C$43,0),"")</f>
        <v/>
      </c>
      <c r="N20" s="52" t="str">
        <f>IF(COUNTA($A20:$I20)&gt;0,IFERROR($H20*Summary!$C$49/Summary!$C$43,0),"")</f>
        <v/>
      </c>
      <c r="O20" s="52" t="str">
        <f t="shared" si="1"/>
        <v/>
      </c>
      <c r="P20" s="52" t="str">
        <f t="shared" si="5"/>
        <v/>
      </c>
      <c r="Q20" s="52" t="str">
        <f t="shared" si="5"/>
        <v/>
      </c>
      <c r="R20" s="52" t="str">
        <f t="shared" si="5"/>
        <v/>
      </c>
      <c r="S20" s="52" t="str">
        <f t="shared" si="5"/>
        <v/>
      </c>
      <c r="T20" s="52" t="str">
        <f t="shared" si="5"/>
        <v/>
      </c>
      <c r="U20" s="52" t="str">
        <f t="shared" si="5"/>
        <v/>
      </c>
      <c r="V20" s="52" t="str">
        <f t="shared" si="5"/>
        <v/>
      </c>
      <c r="W20" s="52" t="str">
        <f t="shared" si="5"/>
        <v/>
      </c>
      <c r="X20" s="52" t="str">
        <f t="shared" si="5"/>
        <v/>
      </c>
      <c r="Y20" s="52" t="str">
        <f t="shared" si="5"/>
        <v/>
      </c>
      <c r="Z20" s="52" t="str">
        <f t="shared" si="5"/>
        <v/>
      </c>
      <c r="AA20" s="52" t="str">
        <f t="shared" si="5"/>
        <v/>
      </c>
      <c r="AB20" s="52" t="str">
        <f t="shared" si="6"/>
        <v/>
      </c>
      <c r="AC20" s="52" t="str">
        <f t="shared" si="7"/>
        <v/>
      </c>
      <c r="AD20" s="52" t="str">
        <f t="shared" si="7"/>
        <v/>
      </c>
      <c r="AE20" s="52" t="str">
        <f t="shared" si="7"/>
        <v/>
      </c>
      <c r="AF20" s="52" t="str">
        <f t="shared" si="7"/>
        <v/>
      </c>
      <c r="AG20" s="52" t="str">
        <f t="shared" si="7"/>
        <v/>
      </c>
      <c r="AH20" s="52" t="str">
        <f t="shared" si="7"/>
        <v/>
      </c>
      <c r="AI20" s="52" t="str">
        <f t="shared" si="7"/>
        <v/>
      </c>
      <c r="AJ20" s="52" t="str">
        <f t="shared" si="7"/>
        <v/>
      </c>
      <c r="AK20" s="52" t="str">
        <f t="shared" si="7"/>
        <v/>
      </c>
      <c r="AL20" s="52" t="str">
        <f t="shared" si="7"/>
        <v/>
      </c>
      <c r="AM20" s="52" t="str">
        <f t="shared" si="7"/>
        <v/>
      </c>
      <c r="AN20" s="52" t="str">
        <f t="shared" si="7"/>
        <v/>
      </c>
      <c r="AO20" s="52" t="str">
        <f t="shared" si="8"/>
        <v/>
      </c>
      <c r="AP20" s="52" t="str">
        <f t="shared" si="9"/>
        <v/>
      </c>
      <c r="AQ20" s="52" t="str">
        <f t="shared" si="9"/>
        <v/>
      </c>
      <c r="AR20" s="52" t="str">
        <f t="shared" si="9"/>
        <v/>
      </c>
      <c r="AS20" s="52" t="str">
        <f t="shared" si="9"/>
        <v/>
      </c>
      <c r="AT20" s="52" t="str">
        <f t="shared" si="9"/>
        <v/>
      </c>
      <c r="AU20" s="52" t="str">
        <f t="shared" si="9"/>
        <v/>
      </c>
      <c r="AV20" s="52" t="str">
        <f t="shared" si="9"/>
        <v/>
      </c>
      <c r="AW20" s="52" t="str">
        <f t="shared" si="9"/>
        <v/>
      </c>
      <c r="AX20" s="52" t="str">
        <f t="shared" si="9"/>
        <v/>
      </c>
      <c r="AY20" s="52" t="str">
        <f t="shared" si="9"/>
        <v/>
      </c>
      <c r="AZ20" s="52" t="str">
        <f t="shared" si="9"/>
        <v/>
      </c>
      <c r="BA20" s="52" t="str">
        <f t="shared" si="9"/>
        <v/>
      </c>
      <c r="BB20" s="52" t="str">
        <f t="shared" si="10"/>
        <v/>
      </c>
      <c r="BC20" s="35"/>
      <c r="BD20" s="30"/>
    </row>
    <row r="21" spans="1:56" x14ac:dyDescent="0.35">
      <c r="A21" s="29"/>
      <c r="B21" s="29"/>
      <c r="C21" s="29"/>
      <c r="D21" s="29"/>
      <c r="E21" s="30"/>
      <c r="F21" s="30"/>
      <c r="G21" s="30"/>
      <c r="H21" s="30"/>
      <c r="I21" s="30"/>
      <c r="J21" s="30"/>
      <c r="K21" s="30"/>
      <c r="L21" s="30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30"/>
      <c r="BC21" s="30"/>
    </row>
    <row r="22" spans="1:56" ht="15" customHeight="1" thickBot="1" x14ac:dyDescent="0.4">
      <c r="A22" s="37" t="s">
        <v>57</v>
      </c>
      <c r="B22" s="37"/>
      <c r="C22" s="37"/>
      <c r="D22" s="37"/>
      <c r="E22" s="38"/>
      <c r="F22" s="39"/>
      <c r="G22" s="38"/>
      <c r="H22" s="38">
        <f>SUM(H5:H20)</f>
        <v>0</v>
      </c>
      <c r="I22" s="38"/>
      <c r="J22" s="38">
        <f t="shared" ref="J22:BB22" si="11">SUM(J5:J20)</f>
        <v>0</v>
      </c>
      <c r="K22" s="38">
        <f t="shared" si="11"/>
        <v>0</v>
      </c>
      <c r="L22" s="38">
        <f t="shared" si="11"/>
        <v>0</v>
      </c>
      <c r="M22" s="38">
        <f t="shared" si="11"/>
        <v>0</v>
      </c>
      <c r="N22" s="38">
        <f t="shared" si="11"/>
        <v>0</v>
      </c>
      <c r="O22" s="38">
        <f t="shared" si="11"/>
        <v>0</v>
      </c>
      <c r="P22" s="38">
        <f t="shared" si="11"/>
        <v>0</v>
      </c>
      <c r="Q22" s="38">
        <f t="shared" si="11"/>
        <v>0</v>
      </c>
      <c r="R22" s="38">
        <f t="shared" si="11"/>
        <v>0</v>
      </c>
      <c r="S22" s="38">
        <f t="shared" si="11"/>
        <v>0</v>
      </c>
      <c r="T22" s="38">
        <f t="shared" si="11"/>
        <v>0</v>
      </c>
      <c r="U22" s="38">
        <f t="shared" si="11"/>
        <v>0</v>
      </c>
      <c r="V22" s="38">
        <f t="shared" si="11"/>
        <v>0</v>
      </c>
      <c r="W22" s="38">
        <f t="shared" si="11"/>
        <v>0</v>
      </c>
      <c r="X22" s="38">
        <f t="shared" si="11"/>
        <v>0</v>
      </c>
      <c r="Y22" s="38">
        <f t="shared" si="11"/>
        <v>0</v>
      </c>
      <c r="Z22" s="38">
        <f t="shared" si="11"/>
        <v>0</v>
      </c>
      <c r="AA22" s="38">
        <f t="shared" si="11"/>
        <v>0</v>
      </c>
      <c r="AB22" s="38">
        <f t="shared" si="11"/>
        <v>0</v>
      </c>
      <c r="AC22" s="38">
        <f t="shared" si="11"/>
        <v>0</v>
      </c>
      <c r="AD22" s="38">
        <f t="shared" si="11"/>
        <v>0</v>
      </c>
      <c r="AE22" s="38">
        <f t="shared" si="11"/>
        <v>0</v>
      </c>
      <c r="AF22" s="38">
        <f t="shared" si="11"/>
        <v>0</v>
      </c>
      <c r="AG22" s="38">
        <f t="shared" si="11"/>
        <v>0</v>
      </c>
      <c r="AH22" s="38">
        <f t="shared" si="11"/>
        <v>0</v>
      </c>
      <c r="AI22" s="38">
        <f t="shared" si="11"/>
        <v>0</v>
      </c>
      <c r="AJ22" s="38">
        <f t="shared" si="11"/>
        <v>0</v>
      </c>
      <c r="AK22" s="38">
        <f t="shared" si="11"/>
        <v>0</v>
      </c>
      <c r="AL22" s="38">
        <f t="shared" si="11"/>
        <v>0</v>
      </c>
      <c r="AM22" s="38">
        <f t="shared" si="11"/>
        <v>0</v>
      </c>
      <c r="AN22" s="38">
        <f t="shared" si="11"/>
        <v>0</v>
      </c>
      <c r="AO22" s="38">
        <f t="shared" si="11"/>
        <v>0</v>
      </c>
      <c r="AP22" s="38">
        <f t="shared" si="11"/>
        <v>0</v>
      </c>
      <c r="AQ22" s="38">
        <f t="shared" si="11"/>
        <v>0</v>
      </c>
      <c r="AR22" s="38">
        <f t="shared" si="11"/>
        <v>0</v>
      </c>
      <c r="AS22" s="38">
        <f t="shared" si="11"/>
        <v>0</v>
      </c>
      <c r="AT22" s="38">
        <f t="shared" si="11"/>
        <v>0</v>
      </c>
      <c r="AU22" s="38">
        <f t="shared" si="11"/>
        <v>0</v>
      </c>
      <c r="AV22" s="38">
        <f t="shared" si="11"/>
        <v>0</v>
      </c>
      <c r="AW22" s="38">
        <f t="shared" si="11"/>
        <v>0</v>
      </c>
      <c r="AX22" s="38">
        <f t="shared" si="11"/>
        <v>0</v>
      </c>
      <c r="AY22" s="38">
        <f t="shared" si="11"/>
        <v>0</v>
      </c>
      <c r="AZ22" s="38">
        <f t="shared" si="11"/>
        <v>0</v>
      </c>
      <c r="BA22" s="38">
        <f t="shared" si="11"/>
        <v>0</v>
      </c>
      <c r="BB22" s="38">
        <f t="shared" si="11"/>
        <v>0</v>
      </c>
      <c r="BC22" s="38"/>
    </row>
    <row r="23" spans="1:56" ht="15" customHeight="1" thickTop="1" x14ac:dyDescent="0.35">
      <c r="A23" s="29"/>
      <c r="B23" s="29"/>
      <c r="C23" s="29"/>
      <c r="D23" s="29"/>
      <c r="E23" s="30"/>
      <c r="F23" s="30"/>
      <c r="G23" s="30"/>
      <c r="H23" s="30"/>
      <c r="I23" s="30"/>
      <c r="J23" s="30"/>
      <c r="K23" s="30"/>
      <c r="L23" s="30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30"/>
    </row>
    <row r="24" spans="1:56" x14ac:dyDescent="0.35">
      <c r="A24" s="29"/>
      <c r="B24" s="29"/>
      <c r="C24" s="29"/>
      <c r="D24" s="29"/>
      <c r="E24" s="30"/>
      <c r="F24" s="30"/>
      <c r="G24" s="30"/>
      <c r="H24" s="30"/>
      <c r="I24" s="30"/>
      <c r="J24" s="30"/>
      <c r="K24" s="30"/>
      <c r="L24" s="30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30"/>
    </row>
    <row r="25" spans="1:56" x14ac:dyDescent="0.35">
      <c r="A25" s="29"/>
      <c r="B25" s="29"/>
      <c r="C25" s="29"/>
      <c r="D25" s="29"/>
      <c r="E25" s="30"/>
      <c r="F25" s="30"/>
      <c r="G25" s="29"/>
      <c r="H25" s="30"/>
      <c r="I25" s="30"/>
      <c r="J25" s="30"/>
      <c r="K25" s="30"/>
      <c r="L25" s="30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6" s="5" customFormat="1" x14ac:dyDescent="0.35">
      <c r="A26" s="69" t="s">
        <v>58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29"/>
      <c r="AU26" s="29"/>
      <c r="AV26" s="29"/>
      <c r="AW26" s="29"/>
      <c r="AX26" s="29"/>
      <c r="AY26" s="29"/>
      <c r="AZ26" s="29"/>
      <c r="BA26" s="29"/>
      <c r="BB26" s="30"/>
      <c r="BC26" s="32"/>
    </row>
    <row r="27" spans="1:56" x14ac:dyDescent="0.35">
      <c r="A27" s="31" t="s">
        <v>59</v>
      </c>
      <c r="B27" s="31" t="s">
        <v>168</v>
      </c>
      <c r="C27" s="31" t="s">
        <v>60</v>
      </c>
      <c r="D27" s="31" t="s">
        <v>61</v>
      </c>
      <c r="E27" s="31" t="s">
        <v>63</v>
      </c>
      <c r="F27" s="53" t="s">
        <v>131</v>
      </c>
      <c r="G27" s="53" t="s">
        <v>132</v>
      </c>
      <c r="H27" s="53" t="s">
        <v>133</v>
      </c>
      <c r="I27" s="53" t="s">
        <v>134</v>
      </c>
      <c r="J27" s="53" t="s">
        <v>135</v>
      </c>
      <c r="K27" s="53" t="s">
        <v>136</v>
      </c>
      <c r="L27" s="53" t="s">
        <v>137</v>
      </c>
      <c r="M27" s="53" t="s">
        <v>138</v>
      </c>
      <c r="N27" s="53" t="s">
        <v>139</v>
      </c>
      <c r="O27" s="53" t="s">
        <v>140</v>
      </c>
      <c r="P27" s="53" t="s">
        <v>141</v>
      </c>
      <c r="Q27" s="53" t="s">
        <v>142</v>
      </c>
      <c r="R27" s="53" t="s">
        <v>37</v>
      </c>
      <c r="S27" s="53" t="s">
        <v>143</v>
      </c>
      <c r="T27" s="53" t="s">
        <v>144</v>
      </c>
      <c r="U27" s="53" t="s">
        <v>145</v>
      </c>
      <c r="V27" s="53" t="s">
        <v>146</v>
      </c>
      <c r="W27" s="53" t="s">
        <v>147</v>
      </c>
      <c r="X27" s="53" t="s">
        <v>148</v>
      </c>
      <c r="Y27" s="53" t="s">
        <v>149</v>
      </c>
      <c r="Z27" s="53" t="s">
        <v>150</v>
      </c>
      <c r="AA27" s="53" t="s">
        <v>151</v>
      </c>
      <c r="AB27" s="53" t="s">
        <v>152</v>
      </c>
      <c r="AC27" s="53" t="s">
        <v>153</v>
      </c>
      <c r="AD27" s="53" t="s">
        <v>154</v>
      </c>
      <c r="AE27" s="53" t="s">
        <v>38</v>
      </c>
      <c r="AF27" s="53" t="s">
        <v>155</v>
      </c>
      <c r="AG27" s="53" t="s">
        <v>156</v>
      </c>
      <c r="AH27" s="53" t="s">
        <v>157</v>
      </c>
      <c r="AI27" s="53" t="s">
        <v>158</v>
      </c>
      <c r="AJ27" s="53" t="s">
        <v>159</v>
      </c>
      <c r="AK27" s="53" t="s">
        <v>160</v>
      </c>
      <c r="AL27" s="53" t="s">
        <v>161</v>
      </c>
      <c r="AM27" s="53" t="s">
        <v>162</v>
      </c>
      <c r="AN27" s="53" t="s">
        <v>163</v>
      </c>
      <c r="AO27" s="53" t="s">
        <v>164</v>
      </c>
      <c r="AP27" s="53" t="s">
        <v>165</v>
      </c>
      <c r="AQ27" s="53" t="s">
        <v>166</v>
      </c>
      <c r="AR27" s="53" t="s">
        <v>39</v>
      </c>
      <c r="AS27" s="31" t="s">
        <v>52</v>
      </c>
      <c r="AT27" s="62"/>
      <c r="AU27" s="62"/>
      <c r="AV27" s="62"/>
      <c r="AW27" s="62"/>
      <c r="AX27" s="62"/>
      <c r="AY27" s="62"/>
      <c r="AZ27" s="62"/>
      <c r="BA27" s="62"/>
      <c r="BB27" s="32"/>
      <c r="BC27" s="32"/>
      <c r="BD27" s="29"/>
    </row>
    <row r="28" spans="1:56" x14ac:dyDescent="0.35">
      <c r="A28" s="33"/>
      <c r="B28" s="33"/>
      <c r="C28" s="33"/>
      <c r="D28" s="33"/>
      <c r="E28" s="33"/>
      <c r="F28" s="35" t="str">
        <f t="shared" ref="F28:Q42" si="12">IF(COUNTA($A28:$E28)&gt;0,IFERROR($E28/12,0),"")</f>
        <v/>
      </c>
      <c r="G28" s="33" t="str">
        <f t="shared" si="12"/>
        <v/>
      </c>
      <c r="H28" s="33" t="str">
        <f t="shared" si="12"/>
        <v/>
      </c>
      <c r="I28" s="33" t="str">
        <f t="shared" si="12"/>
        <v/>
      </c>
      <c r="J28" s="54" t="str">
        <f t="shared" si="12"/>
        <v/>
      </c>
      <c r="K28" s="54" t="str">
        <f t="shared" si="12"/>
        <v/>
      </c>
      <c r="L28" s="54" t="str">
        <f t="shared" si="12"/>
        <v/>
      </c>
      <c r="M28" s="33" t="str">
        <f t="shared" si="12"/>
        <v/>
      </c>
      <c r="N28" s="33" t="str">
        <f t="shared" si="12"/>
        <v/>
      </c>
      <c r="O28" s="33" t="str">
        <f t="shared" si="12"/>
        <v/>
      </c>
      <c r="P28" s="33" t="str">
        <f t="shared" si="12"/>
        <v/>
      </c>
      <c r="Q28" s="33" t="str">
        <f t="shared" si="12"/>
        <v/>
      </c>
      <c r="R28" s="33" t="str">
        <f t="shared" ref="R28:R42" si="13">IF(COUNTA($A28:$E28)&gt;0,SUM(F28:Q28),"")</f>
        <v/>
      </c>
      <c r="S28" s="33" t="str">
        <f t="shared" ref="S28:AD42" si="14">IF(COUNTA($A28:$E28)&gt;0,IFERROR($E28/12,0),"")</f>
        <v/>
      </c>
      <c r="T28" s="33" t="str">
        <f t="shared" si="14"/>
        <v/>
      </c>
      <c r="U28" s="33" t="str">
        <f t="shared" si="14"/>
        <v/>
      </c>
      <c r="V28" s="33" t="str">
        <f t="shared" si="14"/>
        <v/>
      </c>
      <c r="W28" s="33" t="str">
        <f t="shared" si="14"/>
        <v/>
      </c>
      <c r="X28" s="33" t="str">
        <f t="shared" si="14"/>
        <v/>
      </c>
      <c r="Y28" s="33" t="str">
        <f t="shared" si="14"/>
        <v/>
      </c>
      <c r="Z28" s="33" t="str">
        <f t="shared" si="14"/>
        <v/>
      </c>
      <c r="AA28" s="33" t="str">
        <f t="shared" si="14"/>
        <v/>
      </c>
      <c r="AB28" s="33" t="str">
        <f t="shared" si="14"/>
        <v/>
      </c>
      <c r="AC28" s="33" t="str">
        <f t="shared" si="14"/>
        <v/>
      </c>
      <c r="AD28" s="33" t="str">
        <f t="shared" si="14"/>
        <v/>
      </c>
      <c r="AE28" s="33" t="str">
        <f t="shared" ref="AE28:AE42" si="15">IF(COUNTA($A28:$E28)&gt;0,SUM(S28:AD28),"")</f>
        <v/>
      </c>
      <c r="AF28" s="33" t="str">
        <f t="shared" ref="AF28:AQ42" si="16">IF(COUNTA($A28:$E28)&gt;0,IFERROR($E28/12,0),"")</f>
        <v/>
      </c>
      <c r="AG28" s="33" t="str">
        <f t="shared" si="16"/>
        <v/>
      </c>
      <c r="AH28" s="33" t="str">
        <f t="shared" si="16"/>
        <v/>
      </c>
      <c r="AI28" s="33" t="str">
        <f t="shared" si="16"/>
        <v/>
      </c>
      <c r="AJ28" s="33" t="str">
        <f t="shared" si="16"/>
        <v/>
      </c>
      <c r="AK28" s="33" t="str">
        <f t="shared" si="16"/>
        <v/>
      </c>
      <c r="AL28" s="33" t="str">
        <f t="shared" si="16"/>
        <v/>
      </c>
      <c r="AM28" s="33" t="str">
        <f t="shared" si="16"/>
        <v/>
      </c>
      <c r="AN28" s="33" t="str">
        <f t="shared" si="16"/>
        <v/>
      </c>
      <c r="AO28" s="33" t="str">
        <f t="shared" si="16"/>
        <v/>
      </c>
      <c r="AP28" s="33" t="str">
        <f t="shared" si="16"/>
        <v/>
      </c>
      <c r="AQ28" s="33" t="str">
        <f t="shared" si="16"/>
        <v/>
      </c>
      <c r="AR28" s="33" t="str">
        <f t="shared" ref="AR28:AR42" si="17">IF(COUNTA($A28:$E28)&gt;0,SUM(AF28:AQ28),"")</f>
        <v/>
      </c>
      <c r="AS28" s="33"/>
      <c r="AT28" s="33"/>
      <c r="AU28" s="33"/>
      <c r="AV28" s="33"/>
      <c r="AW28" s="33"/>
      <c r="AX28" s="33"/>
      <c r="AY28" s="33"/>
      <c r="AZ28" s="33"/>
      <c r="BA28" s="33"/>
      <c r="BB28" s="29"/>
      <c r="BC28" s="30"/>
      <c r="BD28" s="29"/>
    </row>
    <row r="29" spans="1:56" x14ac:dyDescent="0.35">
      <c r="A29" s="33"/>
      <c r="B29" s="33"/>
      <c r="C29" s="33"/>
      <c r="D29" s="33"/>
      <c r="E29" s="33"/>
      <c r="F29" s="35" t="str">
        <f t="shared" si="12"/>
        <v/>
      </c>
      <c r="G29" s="33" t="str">
        <f t="shared" si="12"/>
        <v/>
      </c>
      <c r="H29" s="33" t="str">
        <f t="shared" si="12"/>
        <v/>
      </c>
      <c r="I29" s="33" t="str">
        <f t="shared" si="12"/>
        <v/>
      </c>
      <c r="J29" s="54" t="str">
        <f t="shared" si="12"/>
        <v/>
      </c>
      <c r="K29" s="54" t="str">
        <f t="shared" si="12"/>
        <v/>
      </c>
      <c r="L29" s="54" t="str">
        <f t="shared" si="12"/>
        <v/>
      </c>
      <c r="M29" s="33" t="str">
        <f t="shared" si="12"/>
        <v/>
      </c>
      <c r="N29" s="33" t="str">
        <f t="shared" si="12"/>
        <v/>
      </c>
      <c r="O29" s="33" t="str">
        <f t="shared" si="12"/>
        <v/>
      </c>
      <c r="P29" s="33" t="str">
        <f t="shared" si="12"/>
        <v/>
      </c>
      <c r="Q29" s="33" t="str">
        <f t="shared" si="12"/>
        <v/>
      </c>
      <c r="R29" s="33" t="str">
        <f t="shared" si="13"/>
        <v/>
      </c>
      <c r="S29" s="33" t="str">
        <f t="shared" si="14"/>
        <v/>
      </c>
      <c r="T29" s="33" t="str">
        <f t="shared" si="14"/>
        <v/>
      </c>
      <c r="U29" s="33" t="str">
        <f t="shared" si="14"/>
        <v/>
      </c>
      <c r="V29" s="33" t="str">
        <f t="shared" si="14"/>
        <v/>
      </c>
      <c r="W29" s="33" t="str">
        <f t="shared" si="14"/>
        <v/>
      </c>
      <c r="X29" s="33" t="str">
        <f t="shared" si="14"/>
        <v/>
      </c>
      <c r="Y29" s="33" t="str">
        <f t="shared" si="14"/>
        <v/>
      </c>
      <c r="Z29" s="33" t="str">
        <f t="shared" si="14"/>
        <v/>
      </c>
      <c r="AA29" s="33" t="str">
        <f t="shared" si="14"/>
        <v/>
      </c>
      <c r="AB29" s="33" t="str">
        <f t="shared" si="14"/>
        <v/>
      </c>
      <c r="AC29" s="33" t="str">
        <f t="shared" si="14"/>
        <v/>
      </c>
      <c r="AD29" s="33" t="str">
        <f t="shared" si="14"/>
        <v/>
      </c>
      <c r="AE29" s="33" t="str">
        <f t="shared" si="15"/>
        <v/>
      </c>
      <c r="AF29" s="33" t="str">
        <f t="shared" si="16"/>
        <v/>
      </c>
      <c r="AG29" s="33" t="str">
        <f t="shared" si="16"/>
        <v/>
      </c>
      <c r="AH29" s="33" t="str">
        <f t="shared" si="16"/>
        <v/>
      </c>
      <c r="AI29" s="33" t="str">
        <f t="shared" si="16"/>
        <v/>
      </c>
      <c r="AJ29" s="33" t="str">
        <f t="shared" si="16"/>
        <v/>
      </c>
      <c r="AK29" s="33" t="str">
        <f t="shared" si="16"/>
        <v/>
      </c>
      <c r="AL29" s="33" t="str">
        <f t="shared" si="16"/>
        <v/>
      </c>
      <c r="AM29" s="33" t="str">
        <f t="shared" si="16"/>
        <v/>
      </c>
      <c r="AN29" s="33" t="str">
        <f t="shared" si="16"/>
        <v/>
      </c>
      <c r="AO29" s="33" t="str">
        <f t="shared" si="16"/>
        <v/>
      </c>
      <c r="AP29" s="33" t="str">
        <f t="shared" si="16"/>
        <v/>
      </c>
      <c r="AQ29" s="33" t="str">
        <f t="shared" si="16"/>
        <v/>
      </c>
      <c r="AR29" s="33" t="str">
        <f t="shared" si="17"/>
        <v/>
      </c>
      <c r="AS29" s="33"/>
      <c r="AT29" s="33"/>
      <c r="AU29" s="33"/>
      <c r="AV29" s="33"/>
      <c r="AW29" s="33"/>
      <c r="AX29" s="33"/>
      <c r="AY29" s="33"/>
      <c r="AZ29" s="33"/>
      <c r="BA29" s="33"/>
      <c r="BB29" s="29"/>
      <c r="BC29" s="30"/>
      <c r="BD29" s="29"/>
    </row>
    <row r="30" spans="1:56" x14ac:dyDescent="0.35">
      <c r="A30" s="33"/>
      <c r="B30" s="33"/>
      <c r="C30" s="33"/>
      <c r="D30" s="33"/>
      <c r="E30" s="33"/>
      <c r="F30" s="35" t="str">
        <f t="shared" si="12"/>
        <v/>
      </c>
      <c r="G30" s="33" t="str">
        <f t="shared" si="12"/>
        <v/>
      </c>
      <c r="H30" s="33" t="str">
        <f t="shared" si="12"/>
        <v/>
      </c>
      <c r="I30" s="33" t="str">
        <f t="shared" si="12"/>
        <v/>
      </c>
      <c r="J30" s="54" t="str">
        <f t="shared" si="12"/>
        <v/>
      </c>
      <c r="K30" s="54" t="str">
        <f t="shared" si="12"/>
        <v/>
      </c>
      <c r="L30" s="54" t="str">
        <f t="shared" si="12"/>
        <v/>
      </c>
      <c r="M30" s="33" t="str">
        <f t="shared" si="12"/>
        <v/>
      </c>
      <c r="N30" s="33" t="str">
        <f t="shared" si="12"/>
        <v/>
      </c>
      <c r="O30" s="33" t="str">
        <f t="shared" si="12"/>
        <v/>
      </c>
      <c r="P30" s="33" t="str">
        <f t="shared" si="12"/>
        <v/>
      </c>
      <c r="Q30" s="33" t="str">
        <f t="shared" si="12"/>
        <v/>
      </c>
      <c r="R30" s="33" t="str">
        <f t="shared" si="13"/>
        <v/>
      </c>
      <c r="S30" s="33" t="str">
        <f t="shared" si="14"/>
        <v/>
      </c>
      <c r="T30" s="33" t="str">
        <f t="shared" si="14"/>
        <v/>
      </c>
      <c r="U30" s="33" t="str">
        <f t="shared" si="14"/>
        <v/>
      </c>
      <c r="V30" s="33" t="str">
        <f t="shared" si="14"/>
        <v/>
      </c>
      <c r="W30" s="33" t="str">
        <f t="shared" si="14"/>
        <v/>
      </c>
      <c r="X30" s="33" t="str">
        <f t="shared" si="14"/>
        <v/>
      </c>
      <c r="Y30" s="33" t="str">
        <f t="shared" si="14"/>
        <v/>
      </c>
      <c r="Z30" s="33" t="str">
        <f t="shared" si="14"/>
        <v/>
      </c>
      <c r="AA30" s="33" t="str">
        <f t="shared" si="14"/>
        <v/>
      </c>
      <c r="AB30" s="33" t="str">
        <f t="shared" si="14"/>
        <v/>
      </c>
      <c r="AC30" s="33" t="str">
        <f t="shared" si="14"/>
        <v/>
      </c>
      <c r="AD30" s="33" t="str">
        <f t="shared" si="14"/>
        <v/>
      </c>
      <c r="AE30" s="33" t="str">
        <f t="shared" si="15"/>
        <v/>
      </c>
      <c r="AF30" s="33" t="str">
        <f t="shared" si="16"/>
        <v/>
      </c>
      <c r="AG30" s="33" t="str">
        <f t="shared" si="16"/>
        <v/>
      </c>
      <c r="AH30" s="33" t="str">
        <f t="shared" si="16"/>
        <v/>
      </c>
      <c r="AI30" s="33" t="str">
        <f t="shared" si="16"/>
        <v/>
      </c>
      <c r="AJ30" s="33" t="str">
        <f t="shared" si="16"/>
        <v/>
      </c>
      <c r="AK30" s="33" t="str">
        <f t="shared" si="16"/>
        <v/>
      </c>
      <c r="AL30" s="33" t="str">
        <f t="shared" si="16"/>
        <v/>
      </c>
      <c r="AM30" s="33" t="str">
        <f t="shared" si="16"/>
        <v/>
      </c>
      <c r="AN30" s="33" t="str">
        <f t="shared" si="16"/>
        <v/>
      </c>
      <c r="AO30" s="33" t="str">
        <f t="shared" si="16"/>
        <v/>
      </c>
      <c r="AP30" s="33" t="str">
        <f t="shared" si="16"/>
        <v/>
      </c>
      <c r="AQ30" s="33" t="str">
        <f t="shared" si="16"/>
        <v/>
      </c>
      <c r="AR30" s="33" t="str">
        <f t="shared" si="17"/>
        <v/>
      </c>
      <c r="AS30" s="33"/>
      <c r="AT30" s="33"/>
      <c r="AU30" s="33"/>
      <c r="AV30" s="33"/>
      <c r="AW30" s="33"/>
      <c r="AX30" s="33"/>
      <c r="AY30" s="33"/>
      <c r="AZ30" s="33"/>
      <c r="BA30" s="33"/>
      <c r="BB30" s="29"/>
      <c r="BC30" s="30"/>
      <c r="BD30" s="29"/>
    </row>
    <row r="31" spans="1:56" x14ac:dyDescent="0.35">
      <c r="A31" s="33"/>
      <c r="B31" s="33"/>
      <c r="C31" s="33"/>
      <c r="D31" s="33"/>
      <c r="E31" s="33"/>
      <c r="F31" s="35" t="str">
        <f t="shared" si="12"/>
        <v/>
      </c>
      <c r="G31" s="33" t="str">
        <f t="shared" si="12"/>
        <v/>
      </c>
      <c r="H31" s="33" t="str">
        <f t="shared" si="12"/>
        <v/>
      </c>
      <c r="I31" s="33" t="str">
        <f t="shared" si="12"/>
        <v/>
      </c>
      <c r="J31" s="54" t="str">
        <f t="shared" si="12"/>
        <v/>
      </c>
      <c r="K31" s="54" t="str">
        <f t="shared" si="12"/>
        <v/>
      </c>
      <c r="L31" s="54" t="str">
        <f t="shared" si="12"/>
        <v/>
      </c>
      <c r="M31" s="33" t="str">
        <f t="shared" si="12"/>
        <v/>
      </c>
      <c r="N31" s="33" t="str">
        <f t="shared" si="12"/>
        <v/>
      </c>
      <c r="O31" s="33" t="str">
        <f t="shared" si="12"/>
        <v/>
      </c>
      <c r="P31" s="33" t="str">
        <f t="shared" si="12"/>
        <v/>
      </c>
      <c r="Q31" s="33" t="str">
        <f t="shared" si="12"/>
        <v/>
      </c>
      <c r="R31" s="33" t="str">
        <f t="shared" si="13"/>
        <v/>
      </c>
      <c r="S31" s="33" t="str">
        <f t="shared" si="14"/>
        <v/>
      </c>
      <c r="T31" s="33" t="str">
        <f t="shared" si="14"/>
        <v/>
      </c>
      <c r="U31" s="33" t="str">
        <f t="shared" si="14"/>
        <v/>
      </c>
      <c r="V31" s="33" t="str">
        <f t="shared" si="14"/>
        <v/>
      </c>
      <c r="W31" s="33" t="str">
        <f t="shared" si="14"/>
        <v/>
      </c>
      <c r="X31" s="33" t="str">
        <f t="shared" si="14"/>
        <v/>
      </c>
      <c r="Y31" s="33" t="str">
        <f t="shared" si="14"/>
        <v/>
      </c>
      <c r="Z31" s="33" t="str">
        <f t="shared" si="14"/>
        <v/>
      </c>
      <c r="AA31" s="33" t="str">
        <f t="shared" si="14"/>
        <v/>
      </c>
      <c r="AB31" s="33" t="str">
        <f t="shared" si="14"/>
        <v/>
      </c>
      <c r="AC31" s="33" t="str">
        <f t="shared" si="14"/>
        <v/>
      </c>
      <c r="AD31" s="33" t="str">
        <f t="shared" si="14"/>
        <v/>
      </c>
      <c r="AE31" s="33" t="str">
        <f t="shared" si="15"/>
        <v/>
      </c>
      <c r="AF31" s="33" t="str">
        <f t="shared" si="16"/>
        <v/>
      </c>
      <c r="AG31" s="33" t="str">
        <f t="shared" si="16"/>
        <v/>
      </c>
      <c r="AH31" s="33" t="str">
        <f t="shared" si="16"/>
        <v/>
      </c>
      <c r="AI31" s="33" t="str">
        <f t="shared" si="16"/>
        <v/>
      </c>
      <c r="AJ31" s="33" t="str">
        <f t="shared" si="16"/>
        <v/>
      </c>
      <c r="AK31" s="33" t="str">
        <f t="shared" si="16"/>
        <v/>
      </c>
      <c r="AL31" s="33" t="str">
        <f t="shared" si="16"/>
        <v/>
      </c>
      <c r="AM31" s="33" t="str">
        <f t="shared" si="16"/>
        <v/>
      </c>
      <c r="AN31" s="33" t="str">
        <f t="shared" si="16"/>
        <v/>
      </c>
      <c r="AO31" s="33" t="str">
        <f t="shared" si="16"/>
        <v/>
      </c>
      <c r="AP31" s="33" t="str">
        <f t="shared" si="16"/>
        <v/>
      </c>
      <c r="AQ31" s="33" t="str">
        <f t="shared" si="16"/>
        <v/>
      </c>
      <c r="AR31" s="33" t="str">
        <f t="shared" si="17"/>
        <v/>
      </c>
      <c r="AS31" s="33"/>
      <c r="AT31" s="33"/>
      <c r="AU31" s="33"/>
      <c r="AV31" s="33"/>
      <c r="AW31" s="33"/>
      <c r="AX31" s="33"/>
      <c r="AY31" s="33"/>
      <c r="AZ31" s="33"/>
      <c r="BA31" s="33"/>
      <c r="BB31" s="29"/>
      <c r="BC31" s="30"/>
      <c r="BD31" s="29"/>
    </row>
    <row r="32" spans="1:56" x14ac:dyDescent="0.35">
      <c r="A32" s="33"/>
      <c r="B32" s="33"/>
      <c r="C32" s="33"/>
      <c r="D32" s="33"/>
      <c r="E32" s="33"/>
      <c r="F32" s="35" t="str">
        <f t="shared" si="12"/>
        <v/>
      </c>
      <c r="G32" s="33" t="str">
        <f t="shared" si="12"/>
        <v/>
      </c>
      <c r="H32" s="33" t="str">
        <f t="shared" si="12"/>
        <v/>
      </c>
      <c r="I32" s="33" t="str">
        <f t="shared" si="12"/>
        <v/>
      </c>
      <c r="J32" s="54" t="str">
        <f t="shared" si="12"/>
        <v/>
      </c>
      <c r="K32" s="54" t="str">
        <f t="shared" si="12"/>
        <v/>
      </c>
      <c r="L32" s="54" t="str">
        <f t="shared" si="12"/>
        <v/>
      </c>
      <c r="M32" s="33" t="str">
        <f t="shared" si="12"/>
        <v/>
      </c>
      <c r="N32" s="33" t="str">
        <f t="shared" si="12"/>
        <v/>
      </c>
      <c r="O32" s="33" t="str">
        <f t="shared" si="12"/>
        <v/>
      </c>
      <c r="P32" s="33" t="str">
        <f t="shared" si="12"/>
        <v/>
      </c>
      <c r="Q32" s="33" t="str">
        <f t="shared" si="12"/>
        <v/>
      </c>
      <c r="R32" s="33" t="str">
        <f t="shared" si="13"/>
        <v/>
      </c>
      <c r="S32" s="33" t="str">
        <f t="shared" si="14"/>
        <v/>
      </c>
      <c r="T32" s="33" t="str">
        <f t="shared" si="14"/>
        <v/>
      </c>
      <c r="U32" s="33" t="str">
        <f t="shared" si="14"/>
        <v/>
      </c>
      <c r="V32" s="33" t="str">
        <f t="shared" si="14"/>
        <v/>
      </c>
      <c r="W32" s="33" t="str">
        <f t="shared" si="14"/>
        <v/>
      </c>
      <c r="X32" s="33" t="str">
        <f t="shared" si="14"/>
        <v/>
      </c>
      <c r="Y32" s="33" t="str">
        <f t="shared" si="14"/>
        <v/>
      </c>
      <c r="Z32" s="33" t="str">
        <f t="shared" si="14"/>
        <v/>
      </c>
      <c r="AA32" s="33" t="str">
        <f t="shared" si="14"/>
        <v/>
      </c>
      <c r="AB32" s="33" t="str">
        <f t="shared" si="14"/>
        <v/>
      </c>
      <c r="AC32" s="33" t="str">
        <f t="shared" si="14"/>
        <v/>
      </c>
      <c r="AD32" s="33" t="str">
        <f t="shared" si="14"/>
        <v/>
      </c>
      <c r="AE32" s="33" t="str">
        <f t="shared" si="15"/>
        <v/>
      </c>
      <c r="AF32" s="33" t="str">
        <f t="shared" si="16"/>
        <v/>
      </c>
      <c r="AG32" s="33" t="str">
        <f t="shared" si="16"/>
        <v/>
      </c>
      <c r="AH32" s="33" t="str">
        <f t="shared" si="16"/>
        <v/>
      </c>
      <c r="AI32" s="33" t="str">
        <f t="shared" si="16"/>
        <v/>
      </c>
      <c r="AJ32" s="33" t="str">
        <f t="shared" si="16"/>
        <v/>
      </c>
      <c r="AK32" s="33" t="str">
        <f t="shared" si="16"/>
        <v/>
      </c>
      <c r="AL32" s="33" t="str">
        <f t="shared" si="16"/>
        <v/>
      </c>
      <c r="AM32" s="33" t="str">
        <f t="shared" si="16"/>
        <v/>
      </c>
      <c r="AN32" s="33" t="str">
        <f t="shared" si="16"/>
        <v/>
      </c>
      <c r="AO32" s="33" t="str">
        <f t="shared" si="16"/>
        <v/>
      </c>
      <c r="AP32" s="33" t="str">
        <f t="shared" si="16"/>
        <v/>
      </c>
      <c r="AQ32" s="33" t="str">
        <f t="shared" si="16"/>
        <v/>
      </c>
      <c r="AR32" s="33" t="str">
        <f t="shared" si="17"/>
        <v/>
      </c>
      <c r="AS32" s="33"/>
      <c r="AT32" s="33"/>
      <c r="AU32" s="33"/>
      <c r="AV32" s="33"/>
      <c r="AW32" s="33"/>
      <c r="AX32" s="33"/>
      <c r="AY32" s="33"/>
      <c r="AZ32" s="33"/>
      <c r="BA32" s="33"/>
      <c r="BB32" s="29"/>
      <c r="BC32" s="30"/>
      <c r="BD32" s="29"/>
    </row>
    <row r="33" spans="1:56" x14ac:dyDescent="0.35">
      <c r="A33" s="33"/>
      <c r="B33" s="33"/>
      <c r="C33" s="33"/>
      <c r="D33" s="33"/>
      <c r="E33" s="33"/>
      <c r="F33" s="35" t="str">
        <f t="shared" si="12"/>
        <v/>
      </c>
      <c r="G33" s="33" t="str">
        <f t="shared" si="12"/>
        <v/>
      </c>
      <c r="H33" s="33" t="str">
        <f t="shared" si="12"/>
        <v/>
      </c>
      <c r="I33" s="33" t="str">
        <f t="shared" si="12"/>
        <v/>
      </c>
      <c r="J33" s="54" t="str">
        <f t="shared" si="12"/>
        <v/>
      </c>
      <c r="K33" s="54" t="str">
        <f t="shared" si="12"/>
        <v/>
      </c>
      <c r="L33" s="54" t="str">
        <f t="shared" si="12"/>
        <v/>
      </c>
      <c r="M33" s="33" t="str">
        <f t="shared" si="12"/>
        <v/>
      </c>
      <c r="N33" s="33" t="str">
        <f t="shared" si="12"/>
        <v/>
      </c>
      <c r="O33" s="33" t="str">
        <f t="shared" si="12"/>
        <v/>
      </c>
      <c r="P33" s="33" t="str">
        <f t="shared" si="12"/>
        <v/>
      </c>
      <c r="Q33" s="33" t="str">
        <f t="shared" si="12"/>
        <v/>
      </c>
      <c r="R33" s="33" t="str">
        <f t="shared" si="13"/>
        <v/>
      </c>
      <c r="S33" s="33" t="str">
        <f t="shared" si="14"/>
        <v/>
      </c>
      <c r="T33" s="33" t="str">
        <f t="shared" si="14"/>
        <v/>
      </c>
      <c r="U33" s="33" t="str">
        <f t="shared" si="14"/>
        <v/>
      </c>
      <c r="V33" s="33" t="str">
        <f t="shared" si="14"/>
        <v/>
      </c>
      <c r="W33" s="33" t="str">
        <f t="shared" si="14"/>
        <v/>
      </c>
      <c r="X33" s="33" t="str">
        <f t="shared" si="14"/>
        <v/>
      </c>
      <c r="Y33" s="33" t="str">
        <f t="shared" si="14"/>
        <v/>
      </c>
      <c r="Z33" s="33" t="str">
        <f t="shared" si="14"/>
        <v/>
      </c>
      <c r="AA33" s="33" t="str">
        <f t="shared" si="14"/>
        <v/>
      </c>
      <c r="AB33" s="33" t="str">
        <f t="shared" si="14"/>
        <v/>
      </c>
      <c r="AC33" s="33" t="str">
        <f t="shared" si="14"/>
        <v/>
      </c>
      <c r="AD33" s="33" t="str">
        <f t="shared" si="14"/>
        <v/>
      </c>
      <c r="AE33" s="33" t="str">
        <f t="shared" si="15"/>
        <v/>
      </c>
      <c r="AF33" s="33" t="str">
        <f t="shared" si="16"/>
        <v/>
      </c>
      <c r="AG33" s="33" t="str">
        <f t="shared" si="16"/>
        <v/>
      </c>
      <c r="AH33" s="33" t="str">
        <f t="shared" si="16"/>
        <v/>
      </c>
      <c r="AI33" s="33" t="str">
        <f t="shared" si="16"/>
        <v/>
      </c>
      <c r="AJ33" s="33" t="str">
        <f t="shared" si="16"/>
        <v/>
      </c>
      <c r="AK33" s="33" t="str">
        <f t="shared" si="16"/>
        <v/>
      </c>
      <c r="AL33" s="33" t="str">
        <f t="shared" si="16"/>
        <v/>
      </c>
      <c r="AM33" s="33" t="str">
        <f t="shared" si="16"/>
        <v/>
      </c>
      <c r="AN33" s="33" t="str">
        <f t="shared" si="16"/>
        <v/>
      </c>
      <c r="AO33" s="33" t="str">
        <f t="shared" si="16"/>
        <v/>
      </c>
      <c r="AP33" s="33" t="str">
        <f t="shared" si="16"/>
        <v/>
      </c>
      <c r="AQ33" s="33" t="str">
        <f t="shared" si="16"/>
        <v/>
      </c>
      <c r="AR33" s="33" t="str">
        <f t="shared" si="17"/>
        <v/>
      </c>
      <c r="AS33" s="33"/>
      <c r="AT33" s="33"/>
      <c r="AU33" s="33"/>
      <c r="AV33" s="33"/>
      <c r="AW33" s="33"/>
      <c r="AX33" s="33"/>
      <c r="AY33" s="33"/>
      <c r="AZ33" s="33"/>
      <c r="BA33" s="33"/>
      <c r="BB33" s="29"/>
      <c r="BC33" s="30"/>
      <c r="BD33" s="29"/>
    </row>
    <row r="34" spans="1:56" x14ac:dyDescent="0.35">
      <c r="A34" s="33"/>
      <c r="B34" s="33"/>
      <c r="C34" s="33"/>
      <c r="D34" s="33"/>
      <c r="E34" s="33"/>
      <c r="F34" s="35" t="str">
        <f t="shared" si="12"/>
        <v/>
      </c>
      <c r="G34" s="33" t="str">
        <f t="shared" si="12"/>
        <v/>
      </c>
      <c r="H34" s="33" t="str">
        <f t="shared" si="12"/>
        <v/>
      </c>
      <c r="I34" s="33" t="str">
        <f t="shared" si="12"/>
        <v/>
      </c>
      <c r="J34" s="54" t="str">
        <f t="shared" si="12"/>
        <v/>
      </c>
      <c r="K34" s="54" t="str">
        <f t="shared" si="12"/>
        <v/>
      </c>
      <c r="L34" s="54" t="str">
        <f t="shared" si="12"/>
        <v/>
      </c>
      <c r="M34" s="33" t="str">
        <f t="shared" si="12"/>
        <v/>
      </c>
      <c r="N34" s="33" t="str">
        <f t="shared" si="12"/>
        <v/>
      </c>
      <c r="O34" s="33" t="str">
        <f t="shared" si="12"/>
        <v/>
      </c>
      <c r="P34" s="33" t="str">
        <f t="shared" si="12"/>
        <v/>
      </c>
      <c r="Q34" s="33" t="str">
        <f t="shared" si="12"/>
        <v/>
      </c>
      <c r="R34" s="33" t="str">
        <f t="shared" si="13"/>
        <v/>
      </c>
      <c r="S34" s="33" t="str">
        <f t="shared" si="14"/>
        <v/>
      </c>
      <c r="T34" s="33" t="str">
        <f t="shared" si="14"/>
        <v/>
      </c>
      <c r="U34" s="33" t="str">
        <f t="shared" si="14"/>
        <v/>
      </c>
      <c r="V34" s="33" t="str">
        <f t="shared" si="14"/>
        <v/>
      </c>
      <c r="W34" s="33" t="str">
        <f t="shared" si="14"/>
        <v/>
      </c>
      <c r="X34" s="33" t="str">
        <f t="shared" si="14"/>
        <v/>
      </c>
      <c r="Y34" s="33" t="str">
        <f t="shared" si="14"/>
        <v/>
      </c>
      <c r="Z34" s="33" t="str">
        <f t="shared" si="14"/>
        <v/>
      </c>
      <c r="AA34" s="33" t="str">
        <f t="shared" si="14"/>
        <v/>
      </c>
      <c r="AB34" s="33" t="str">
        <f t="shared" si="14"/>
        <v/>
      </c>
      <c r="AC34" s="33" t="str">
        <f t="shared" si="14"/>
        <v/>
      </c>
      <c r="AD34" s="33" t="str">
        <f t="shared" si="14"/>
        <v/>
      </c>
      <c r="AE34" s="33" t="str">
        <f t="shared" si="15"/>
        <v/>
      </c>
      <c r="AF34" s="33" t="str">
        <f t="shared" si="16"/>
        <v/>
      </c>
      <c r="AG34" s="33" t="str">
        <f t="shared" si="16"/>
        <v/>
      </c>
      <c r="AH34" s="33" t="str">
        <f t="shared" si="16"/>
        <v/>
      </c>
      <c r="AI34" s="33" t="str">
        <f t="shared" si="16"/>
        <v/>
      </c>
      <c r="AJ34" s="33" t="str">
        <f t="shared" si="16"/>
        <v/>
      </c>
      <c r="AK34" s="33" t="str">
        <f t="shared" si="16"/>
        <v/>
      </c>
      <c r="AL34" s="33" t="str">
        <f t="shared" si="16"/>
        <v/>
      </c>
      <c r="AM34" s="33" t="str">
        <f t="shared" si="16"/>
        <v/>
      </c>
      <c r="AN34" s="33" t="str">
        <f t="shared" si="16"/>
        <v/>
      </c>
      <c r="AO34" s="33" t="str">
        <f t="shared" si="16"/>
        <v/>
      </c>
      <c r="AP34" s="33" t="str">
        <f t="shared" si="16"/>
        <v/>
      </c>
      <c r="AQ34" s="33" t="str">
        <f t="shared" si="16"/>
        <v/>
      </c>
      <c r="AR34" s="33" t="str">
        <f t="shared" si="17"/>
        <v/>
      </c>
      <c r="AS34" s="33"/>
      <c r="AT34" s="33"/>
      <c r="AU34" s="33"/>
      <c r="AV34" s="33"/>
      <c r="AW34" s="33"/>
      <c r="AX34" s="33"/>
      <c r="AY34" s="33"/>
      <c r="AZ34" s="33"/>
      <c r="BA34" s="33"/>
      <c r="BB34" s="29"/>
      <c r="BC34" s="30"/>
      <c r="BD34" s="29"/>
    </row>
    <row r="35" spans="1:56" x14ac:dyDescent="0.35">
      <c r="A35" s="33"/>
      <c r="B35" s="33"/>
      <c r="C35" s="33"/>
      <c r="D35" s="33"/>
      <c r="E35" s="33"/>
      <c r="F35" s="35" t="str">
        <f t="shared" si="12"/>
        <v/>
      </c>
      <c r="G35" s="33" t="str">
        <f t="shared" si="12"/>
        <v/>
      </c>
      <c r="H35" s="33" t="str">
        <f t="shared" si="12"/>
        <v/>
      </c>
      <c r="I35" s="33" t="str">
        <f t="shared" si="12"/>
        <v/>
      </c>
      <c r="J35" s="54" t="str">
        <f t="shared" si="12"/>
        <v/>
      </c>
      <c r="K35" s="54" t="str">
        <f t="shared" si="12"/>
        <v/>
      </c>
      <c r="L35" s="54" t="str">
        <f t="shared" si="12"/>
        <v/>
      </c>
      <c r="M35" s="33" t="str">
        <f t="shared" si="12"/>
        <v/>
      </c>
      <c r="N35" s="33" t="str">
        <f t="shared" si="12"/>
        <v/>
      </c>
      <c r="O35" s="33" t="str">
        <f t="shared" si="12"/>
        <v/>
      </c>
      <c r="P35" s="33" t="str">
        <f t="shared" si="12"/>
        <v/>
      </c>
      <c r="Q35" s="33" t="str">
        <f t="shared" si="12"/>
        <v/>
      </c>
      <c r="R35" s="33" t="str">
        <f t="shared" si="13"/>
        <v/>
      </c>
      <c r="S35" s="33" t="str">
        <f t="shared" si="14"/>
        <v/>
      </c>
      <c r="T35" s="33" t="str">
        <f t="shared" si="14"/>
        <v/>
      </c>
      <c r="U35" s="33" t="str">
        <f t="shared" si="14"/>
        <v/>
      </c>
      <c r="V35" s="33" t="str">
        <f t="shared" si="14"/>
        <v/>
      </c>
      <c r="W35" s="33" t="str">
        <f t="shared" si="14"/>
        <v/>
      </c>
      <c r="X35" s="33" t="str">
        <f t="shared" si="14"/>
        <v/>
      </c>
      <c r="Y35" s="33" t="str">
        <f t="shared" si="14"/>
        <v/>
      </c>
      <c r="Z35" s="33" t="str">
        <f t="shared" si="14"/>
        <v/>
      </c>
      <c r="AA35" s="33" t="str">
        <f t="shared" si="14"/>
        <v/>
      </c>
      <c r="AB35" s="33" t="str">
        <f t="shared" si="14"/>
        <v/>
      </c>
      <c r="AC35" s="33" t="str">
        <f t="shared" si="14"/>
        <v/>
      </c>
      <c r="AD35" s="33" t="str">
        <f t="shared" si="14"/>
        <v/>
      </c>
      <c r="AE35" s="33" t="str">
        <f t="shared" si="15"/>
        <v/>
      </c>
      <c r="AF35" s="33" t="str">
        <f t="shared" si="16"/>
        <v/>
      </c>
      <c r="AG35" s="33" t="str">
        <f t="shared" si="16"/>
        <v/>
      </c>
      <c r="AH35" s="33" t="str">
        <f t="shared" si="16"/>
        <v/>
      </c>
      <c r="AI35" s="33" t="str">
        <f t="shared" si="16"/>
        <v/>
      </c>
      <c r="AJ35" s="33" t="str">
        <f t="shared" si="16"/>
        <v/>
      </c>
      <c r="AK35" s="33" t="str">
        <f t="shared" si="16"/>
        <v/>
      </c>
      <c r="AL35" s="33" t="str">
        <f t="shared" si="16"/>
        <v/>
      </c>
      <c r="AM35" s="33" t="str">
        <f t="shared" si="16"/>
        <v/>
      </c>
      <c r="AN35" s="33" t="str">
        <f t="shared" si="16"/>
        <v/>
      </c>
      <c r="AO35" s="33" t="str">
        <f t="shared" si="16"/>
        <v/>
      </c>
      <c r="AP35" s="33" t="str">
        <f t="shared" si="16"/>
        <v/>
      </c>
      <c r="AQ35" s="33" t="str">
        <f t="shared" si="16"/>
        <v/>
      </c>
      <c r="AR35" s="33" t="str">
        <f t="shared" si="17"/>
        <v/>
      </c>
      <c r="AS35" s="33"/>
      <c r="AT35" s="33"/>
      <c r="AU35" s="33"/>
      <c r="AV35" s="33"/>
      <c r="AW35" s="33"/>
      <c r="AX35" s="33"/>
      <c r="AY35" s="33"/>
      <c r="AZ35" s="33"/>
      <c r="BA35" s="33"/>
      <c r="BB35" s="29"/>
      <c r="BC35" s="30"/>
      <c r="BD35" s="29"/>
    </row>
    <row r="36" spans="1:56" x14ac:dyDescent="0.35">
      <c r="A36" s="33"/>
      <c r="B36" s="33"/>
      <c r="C36" s="33"/>
      <c r="D36" s="33"/>
      <c r="E36" s="33"/>
      <c r="F36" s="35" t="str">
        <f t="shared" si="12"/>
        <v/>
      </c>
      <c r="G36" s="33" t="str">
        <f t="shared" si="12"/>
        <v/>
      </c>
      <c r="H36" s="33" t="str">
        <f t="shared" si="12"/>
        <v/>
      </c>
      <c r="I36" s="33" t="str">
        <f t="shared" si="12"/>
        <v/>
      </c>
      <c r="J36" s="54" t="str">
        <f t="shared" si="12"/>
        <v/>
      </c>
      <c r="K36" s="54" t="str">
        <f t="shared" si="12"/>
        <v/>
      </c>
      <c r="L36" s="54" t="str">
        <f t="shared" si="12"/>
        <v/>
      </c>
      <c r="M36" s="33" t="str">
        <f t="shared" si="12"/>
        <v/>
      </c>
      <c r="N36" s="33" t="str">
        <f t="shared" si="12"/>
        <v/>
      </c>
      <c r="O36" s="33" t="str">
        <f t="shared" si="12"/>
        <v/>
      </c>
      <c r="P36" s="33" t="str">
        <f t="shared" si="12"/>
        <v/>
      </c>
      <c r="Q36" s="33" t="str">
        <f t="shared" si="12"/>
        <v/>
      </c>
      <c r="R36" s="33" t="str">
        <f t="shared" si="13"/>
        <v/>
      </c>
      <c r="S36" s="33" t="str">
        <f t="shared" si="14"/>
        <v/>
      </c>
      <c r="T36" s="33" t="str">
        <f t="shared" si="14"/>
        <v/>
      </c>
      <c r="U36" s="33" t="str">
        <f t="shared" si="14"/>
        <v/>
      </c>
      <c r="V36" s="33" t="str">
        <f t="shared" si="14"/>
        <v/>
      </c>
      <c r="W36" s="33" t="str">
        <f t="shared" si="14"/>
        <v/>
      </c>
      <c r="X36" s="33" t="str">
        <f t="shared" si="14"/>
        <v/>
      </c>
      <c r="Y36" s="33" t="str">
        <f t="shared" si="14"/>
        <v/>
      </c>
      <c r="Z36" s="33" t="str">
        <f t="shared" si="14"/>
        <v/>
      </c>
      <c r="AA36" s="33" t="str">
        <f t="shared" si="14"/>
        <v/>
      </c>
      <c r="AB36" s="33" t="str">
        <f t="shared" si="14"/>
        <v/>
      </c>
      <c r="AC36" s="33" t="str">
        <f t="shared" si="14"/>
        <v/>
      </c>
      <c r="AD36" s="33" t="str">
        <f t="shared" si="14"/>
        <v/>
      </c>
      <c r="AE36" s="33" t="str">
        <f t="shared" si="15"/>
        <v/>
      </c>
      <c r="AF36" s="33" t="str">
        <f t="shared" si="16"/>
        <v/>
      </c>
      <c r="AG36" s="33" t="str">
        <f t="shared" si="16"/>
        <v/>
      </c>
      <c r="AH36" s="33" t="str">
        <f t="shared" si="16"/>
        <v/>
      </c>
      <c r="AI36" s="33" t="str">
        <f t="shared" si="16"/>
        <v/>
      </c>
      <c r="AJ36" s="33" t="str">
        <f t="shared" si="16"/>
        <v/>
      </c>
      <c r="AK36" s="33" t="str">
        <f t="shared" si="16"/>
        <v/>
      </c>
      <c r="AL36" s="33" t="str">
        <f t="shared" si="16"/>
        <v/>
      </c>
      <c r="AM36" s="33" t="str">
        <f t="shared" si="16"/>
        <v/>
      </c>
      <c r="AN36" s="33" t="str">
        <f t="shared" si="16"/>
        <v/>
      </c>
      <c r="AO36" s="33" t="str">
        <f t="shared" si="16"/>
        <v/>
      </c>
      <c r="AP36" s="33" t="str">
        <f t="shared" si="16"/>
        <v/>
      </c>
      <c r="AQ36" s="33" t="str">
        <f t="shared" si="16"/>
        <v/>
      </c>
      <c r="AR36" s="33" t="str">
        <f t="shared" si="17"/>
        <v/>
      </c>
      <c r="AS36" s="33"/>
      <c r="AT36" s="33"/>
      <c r="AU36" s="33"/>
      <c r="AV36" s="33"/>
      <c r="AW36" s="33"/>
      <c r="AX36" s="33"/>
      <c r="AY36" s="33"/>
      <c r="AZ36" s="33"/>
      <c r="BA36" s="33"/>
      <c r="BB36" s="29"/>
      <c r="BC36" s="30"/>
      <c r="BD36" s="29"/>
    </row>
    <row r="37" spans="1:56" x14ac:dyDescent="0.35">
      <c r="A37" s="33"/>
      <c r="B37" s="33"/>
      <c r="C37" s="33"/>
      <c r="D37" s="33"/>
      <c r="E37" s="33"/>
      <c r="F37" s="35" t="str">
        <f t="shared" si="12"/>
        <v/>
      </c>
      <c r="G37" s="33" t="str">
        <f t="shared" si="12"/>
        <v/>
      </c>
      <c r="H37" s="33" t="str">
        <f t="shared" si="12"/>
        <v/>
      </c>
      <c r="I37" s="33" t="str">
        <f t="shared" si="12"/>
        <v/>
      </c>
      <c r="J37" s="54" t="str">
        <f t="shared" si="12"/>
        <v/>
      </c>
      <c r="K37" s="54" t="str">
        <f t="shared" si="12"/>
        <v/>
      </c>
      <c r="L37" s="54" t="str">
        <f t="shared" si="12"/>
        <v/>
      </c>
      <c r="M37" s="33" t="str">
        <f t="shared" si="12"/>
        <v/>
      </c>
      <c r="N37" s="33" t="str">
        <f t="shared" si="12"/>
        <v/>
      </c>
      <c r="O37" s="33" t="str">
        <f t="shared" si="12"/>
        <v/>
      </c>
      <c r="P37" s="33" t="str">
        <f t="shared" si="12"/>
        <v/>
      </c>
      <c r="Q37" s="33" t="str">
        <f t="shared" si="12"/>
        <v/>
      </c>
      <c r="R37" s="33" t="str">
        <f t="shared" si="13"/>
        <v/>
      </c>
      <c r="S37" s="33" t="str">
        <f t="shared" si="14"/>
        <v/>
      </c>
      <c r="T37" s="33" t="str">
        <f t="shared" si="14"/>
        <v/>
      </c>
      <c r="U37" s="33" t="str">
        <f t="shared" si="14"/>
        <v/>
      </c>
      <c r="V37" s="33" t="str">
        <f t="shared" si="14"/>
        <v/>
      </c>
      <c r="W37" s="33" t="str">
        <f t="shared" si="14"/>
        <v/>
      </c>
      <c r="X37" s="33" t="str">
        <f t="shared" si="14"/>
        <v/>
      </c>
      <c r="Y37" s="33" t="str">
        <f t="shared" si="14"/>
        <v/>
      </c>
      <c r="Z37" s="33" t="str">
        <f t="shared" si="14"/>
        <v/>
      </c>
      <c r="AA37" s="33" t="str">
        <f t="shared" si="14"/>
        <v/>
      </c>
      <c r="AB37" s="33" t="str">
        <f t="shared" si="14"/>
        <v/>
      </c>
      <c r="AC37" s="33" t="str">
        <f t="shared" si="14"/>
        <v/>
      </c>
      <c r="AD37" s="33" t="str">
        <f t="shared" si="14"/>
        <v/>
      </c>
      <c r="AE37" s="33" t="str">
        <f t="shared" si="15"/>
        <v/>
      </c>
      <c r="AF37" s="33" t="str">
        <f t="shared" si="16"/>
        <v/>
      </c>
      <c r="AG37" s="33" t="str">
        <f t="shared" si="16"/>
        <v/>
      </c>
      <c r="AH37" s="33" t="str">
        <f t="shared" si="16"/>
        <v/>
      </c>
      <c r="AI37" s="33" t="str">
        <f t="shared" si="16"/>
        <v/>
      </c>
      <c r="AJ37" s="33" t="str">
        <f t="shared" si="16"/>
        <v/>
      </c>
      <c r="AK37" s="33" t="str">
        <f t="shared" si="16"/>
        <v/>
      </c>
      <c r="AL37" s="33" t="str">
        <f t="shared" si="16"/>
        <v/>
      </c>
      <c r="AM37" s="33" t="str">
        <f t="shared" si="16"/>
        <v/>
      </c>
      <c r="AN37" s="33" t="str">
        <f t="shared" si="16"/>
        <v/>
      </c>
      <c r="AO37" s="33" t="str">
        <f t="shared" si="16"/>
        <v/>
      </c>
      <c r="AP37" s="33" t="str">
        <f t="shared" si="16"/>
        <v/>
      </c>
      <c r="AQ37" s="33" t="str">
        <f t="shared" si="16"/>
        <v/>
      </c>
      <c r="AR37" s="33" t="str">
        <f t="shared" si="17"/>
        <v/>
      </c>
      <c r="AS37" s="33"/>
      <c r="AT37" s="33"/>
      <c r="AU37" s="33"/>
      <c r="AV37" s="33"/>
      <c r="AW37" s="33"/>
      <c r="AX37" s="33"/>
      <c r="AY37" s="33"/>
      <c r="AZ37" s="33"/>
      <c r="BA37" s="33"/>
      <c r="BB37" s="29"/>
      <c r="BC37" s="30"/>
      <c r="BD37" s="29"/>
    </row>
    <row r="38" spans="1:56" x14ac:dyDescent="0.35">
      <c r="A38" s="33"/>
      <c r="B38" s="33"/>
      <c r="C38" s="33"/>
      <c r="D38" s="33"/>
      <c r="E38" s="33"/>
      <c r="F38" s="35" t="str">
        <f t="shared" si="12"/>
        <v/>
      </c>
      <c r="G38" s="33" t="str">
        <f t="shared" si="12"/>
        <v/>
      </c>
      <c r="H38" s="33" t="str">
        <f t="shared" si="12"/>
        <v/>
      </c>
      <c r="I38" s="33" t="str">
        <f t="shared" si="12"/>
        <v/>
      </c>
      <c r="J38" s="54" t="str">
        <f t="shared" si="12"/>
        <v/>
      </c>
      <c r="K38" s="54" t="str">
        <f t="shared" si="12"/>
        <v/>
      </c>
      <c r="L38" s="54" t="str">
        <f t="shared" si="12"/>
        <v/>
      </c>
      <c r="M38" s="33" t="str">
        <f t="shared" si="12"/>
        <v/>
      </c>
      <c r="N38" s="33" t="str">
        <f t="shared" si="12"/>
        <v/>
      </c>
      <c r="O38" s="33" t="str">
        <f t="shared" si="12"/>
        <v/>
      </c>
      <c r="P38" s="33" t="str">
        <f t="shared" si="12"/>
        <v/>
      </c>
      <c r="Q38" s="33" t="str">
        <f t="shared" si="12"/>
        <v/>
      </c>
      <c r="R38" s="33" t="str">
        <f t="shared" si="13"/>
        <v/>
      </c>
      <c r="S38" s="33" t="str">
        <f t="shared" si="14"/>
        <v/>
      </c>
      <c r="T38" s="33" t="str">
        <f t="shared" si="14"/>
        <v/>
      </c>
      <c r="U38" s="33" t="str">
        <f t="shared" si="14"/>
        <v/>
      </c>
      <c r="V38" s="33" t="str">
        <f t="shared" si="14"/>
        <v/>
      </c>
      <c r="W38" s="33" t="str">
        <f t="shared" si="14"/>
        <v/>
      </c>
      <c r="X38" s="33" t="str">
        <f t="shared" si="14"/>
        <v/>
      </c>
      <c r="Y38" s="33" t="str">
        <f t="shared" si="14"/>
        <v/>
      </c>
      <c r="Z38" s="33" t="str">
        <f t="shared" si="14"/>
        <v/>
      </c>
      <c r="AA38" s="33" t="str">
        <f t="shared" si="14"/>
        <v/>
      </c>
      <c r="AB38" s="33" t="str">
        <f t="shared" si="14"/>
        <v/>
      </c>
      <c r="AC38" s="33" t="str">
        <f t="shared" si="14"/>
        <v/>
      </c>
      <c r="AD38" s="33" t="str">
        <f t="shared" si="14"/>
        <v/>
      </c>
      <c r="AE38" s="33" t="str">
        <f t="shared" si="15"/>
        <v/>
      </c>
      <c r="AF38" s="33" t="str">
        <f t="shared" si="16"/>
        <v/>
      </c>
      <c r="AG38" s="33" t="str">
        <f t="shared" si="16"/>
        <v/>
      </c>
      <c r="AH38" s="33" t="str">
        <f t="shared" si="16"/>
        <v/>
      </c>
      <c r="AI38" s="33" t="str">
        <f t="shared" si="16"/>
        <v/>
      </c>
      <c r="AJ38" s="33" t="str">
        <f t="shared" si="16"/>
        <v/>
      </c>
      <c r="AK38" s="33" t="str">
        <f t="shared" si="16"/>
        <v/>
      </c>
      <c r="AL38" s="33" t="str">
        <f t="shared" si="16"/>
        <v/>
      </c>
      <c r="AM38" s="33" t="str">
        <f t="shared" si="16"/>
        <v/>
      </c>
      <c r="AN38" s="33" t="str">
        <f t="shared" si="16"/>
        <v/>
      </c>
      <c r="AO38" s="33" t="str">
        <f t="shared" si="16"/>
        <v/>
      </c>
      <c r="AP38" s="33" t="str">
        <f t="shared" si="16"/>
        <v/>
      </c>
      <c r="AQ38" s="33" t="str">
        <f t="shared" si="16"/>
        <v/>
      </c>
      <c r="AR38" s="33" t="str">
        <f t="shared" si="17"/>
        <v/>
      </c>
      <c r="AS38" s="33"/>
      <c r="AT38" s="33"/>
      <c r="AU38" s="33"/>
      <c r="AV38" s="33"/>
      <c r="AW38" s="33"/>
      <c r="AX38" s="33"/>
      <c r="AY38" s="33"/>
      <c r="AZ38" s="33"/>
      <c r="BA38" s="33"/>
      <c r="BB38" s="29"/>
      <c r="BC38" s="30"/>
      <c r="BD38" s="29"/>
    </row>
    <row r="39" spans="1:56" x14ac:dyDescent="0.35">
      <c r="A39" s="33"/>
      <c r="B39" s="33"/>
      <c r="C39" s="33"/>
      <c r="D39" s="33"/>
      <c r="E39" s="33"/>
      <c r="F39" s="35" t="str">
        <f t="shared" si="12"/>
        <v/>
      </c>
      <c r="G39" s="33" t="str">
        <f t="shared" si="12"/>
        <v/>
      </c>
      <c r="H39" s="33" t="str">
        <f t="shared" si="12"/>
        <v/>
      </c>
      <c r="I39" s="33" t="str">
        <f t="shared" si="12"/>
        <v/>
      </c>
      <c r="J39" s="54" t="str">
        <f t="shared" si="12"/>
        <v/>
      </c>
      <c r="K39" s="54" t="str">
        <f t="shared" si="12"/>
        <v/>
      </c>
      <c r="L39" s="54" t="str">
        <f t="shared" si="12"/>
        <v/>
      </c>
      <c r="M39" s="33" t="str">
        <f t="shared" si="12"/>
        <v/>
      </c>
      <c r="N39" s="33" t="str">
        <f t="shared" si="12"/>
        <v/>
      </c>
      <c r="O39" s="33" t="str">
        <f t="shared" si="12"/>
        <v/>
      </c>
      <c r="P39" s="33" t="str">
        <f t="shared" si="12"/>
        <v/>
      </c>
      <c r="Q39" s="33" t="str">
        <f t="shared" si="12"/>
        <v/>
      </c>
      <c r="R39" s="33" t="str">
        <f t="shared" si="13"/>
        <v/>
      </c>
      <c r="S39" s="33" t="str">
        <f t="shared" si="14"/>
        <v/>
      </c>
      <c r="T39" s="33" t="str">
        <f t="shared" si="14"/>
        <v/>
      </c>
      <c r="U39" s="33" t="str">
        <f t="shared" si="14"/>
        <v/>
      </c>
      <c r="V39" s="33" t="str">
        <f t="shared" si="14"/>
        <v/>
      </c>
      <c r="W39" s="33" t="str">
        <f t="shared" si="14"/>
        <v/>
      </c>
      <c r="X39" s="33" t="str">
        <f t="shared" si="14"/>
        <v/>
      </c>
      <c r="Y39" s="33" t="str">
        <f t="shared" si="14"/>
        <v/>
      </c>
      <c r="Z39" s="33" t="str">
        <f t="shared" si="14"/>
        <v/>
      </c>
      <c r="AA39" s="33" t="str">
        <f t="shared" si="14"/>
        <v/>
      </c>
      <c r="AB39" s="33" t="str">
        <f t="shared" si="14"/>
        <v/>
      </c>
      <c r="AC39" s="33" t="str">
        <f t="shared" si="14"/>
        <v/>
      </c>
      <c r="AD39" s="33" t="str">
        <f t="shared" si="14"/>
        <v/>
      </c>
      <c r="AE39" s="33" t="str">
        <f t="shared" si="15"/>
        <v/>
      </c>
      <c r="AF39" s="33" t="str">
        <f t="shared" si="16"/>
        <v/>
      </c>
      <c r="AG39" s="33" t="str">
        <f t="shared" si="16"/>
        <v/>
      </c>
      <c r="AH39" s="33" t="str">
        <f t="shared" si="16"/>
        <v/>
      </c>
      <c r="AI39" s="33" t="str">
        <f t="shared" si="16"/>
        <v/>
      </c>
      <c r="AJ39" s="33" t="str">
        <f t="shared" si="16"/>
        <v/>
      </c>
      <c r="AK39" s="33" t="str">
        <f t="shared" si="16"/>
        <v/>
      </c>
      <c r="AL39" s="33" t="str">
        <f t="shared" si="16"/>
        <v/>
      </c>
      <c r="AM39" s="33" t="str">
        <f t="shared" si="16"/>
        <v/>
      </c>
      <c r="AN39" s="33" t="str">
        <f t="shared" si="16"/>
        <v/>
      </c>
      <c r="AO39" s="33" t="str">
        <f t="shared" si="16"/>
        <v/>
      </c>
      <c r="AP39" s="33" t="str">
        <f t="shared" si="16"/>
        <v/>
      </c>
      <c r="AQ39" s="33" t="str">
        <f t="shared" si="16"/>
        <v/>
      </c>
      <c r="AR39" s="33" t="str">
        <f t="shared" si="17"/>
        <v/>
      </c>
      <c r="AS39" s="33"/>
      <c r="AT39" s="33"/>
      <c r="AU39" s="33"/>
      <c r="AV39" s="33"/>
      <c r="AW39" s="33"/>
      <c r="AX39" s="33"/>
      <c r="AY39" s="33"/>
      <c r="AZ39" s="33"/>
      <c r="BA39" s="33"/>
      <c r="BB39" s="29"/>
      <c r="BC39" s="30"/>
      <c r="BD39" s="29"/>
    </row>
    <row r="40" spans="1:56" x14ac:dyDescent="0.35">
      <c r="A40" s="33"/>
      <c r="B40" s="33"/>
      <c r="C40" s="33"/>
      <c r="D40" s="33"/>
      <c r="E40" s="33"/>
      <c r="F40" s="35" t="str">
        <f t="shared" si="12"/>
        <v/>
      </c>
      <c r="G40" s="33" t="str">
        <f t="shared" si="12"/>
        <v/>
      </c>
      <c r="H40" s="33" t="str">
        <f t="shared" si="12"/>
        <v/>
      </c>
      <c r="I40" s="33" t="str">
        <f t="shared" si="12"/>
        <v/>
      </c>
      <c r="J40" s="54" t="str">
        <f t="shared" si="12"/>
        <v/>
      </c>
      <c r="K40" s="54" t="str">
        <f t="shared" si="12"/>
        <v/>
      </c>
      <c r="L40" s="54" t="str">
        <f t="shared" si="12"/>
        <v/>
      </c>
      <c r="M40" s="33" t="str">
        <f t="shared" si="12"/>
        <v/>
      </c>
      <c r="N40" s="33" t="str">
        <f t="shared" si="12"/>
        <v/>
      </c>
      <c r="O40" s="33" t="str">
        <f t="shared" si="12"/>
        <v/>
      </c>
      <c r="P40" s="33" t="str">
        <f t="shared" si="12"/>
        <v/>
      </c>
      <c r="Q40" s="33" t="str">
        <f t="shared" si="12"/>
        <v/>
      </c>
      <c r="R40" s="33" t="str">
        <f t="shared" si="13"/>
        <v/>
      </c>
      <c r="S40" s="33" t="str">
        <f t="shared" si="14"/>
        <v/>
      </c>
      <c r="T40" s="33" t="str">
        <f t="shared" si="14"/>
        <v/>
      </c>
      <c r="U40" s="33" t="str">
        <f t="shared" si="14"/>
        <v/>
      </c>
      <c r="V40" s="33" t="str">
        <f t="shared" si="14"/>
        <v/>
      </c>
      <c r="W40" s="33" t="str">
        <f t="shared" si="14"/>
        <v/>
      </c>
      <c r="X40" s="33" t="str">
        <f t="shared" si="14"/>
        <v/>
      </c>
      <c r="Y40" s="33" t="str">
        <f t="shared" si="14"/>
        <v/>
      </c>
      <c r="Z40" s="33" t="str">
        <f t="shared" si="14"/>
        <v/>
      </c>
      <c r="AA40" s="33" t="str">
        <f t="shared" si="14"/>
        <v/>
      </c>
      <c r="AB40" s="33" t="str">
        <f t="shared" si="14"/>
        <v/>
      </c>
      <c r="AC40" s="33" t="str">
        <f t="shared" si="14"/>
        <v/>
      </c>
      <c r="AD40" s="33" t="str">
        <f t="shared" si="14"/>
        <v/>
      </c>
      <c r="AE40" s="33" t="str">
        <f t="shared" si="15"/>
        <v/>
      </c>
      <c r="AF40" s="33" t="str">
        <f t="shared" si="16"/>
        <v/>
      </c>
      <c r="AG40" s="33" t="str">
        <f t="shared" si="16"/>
        <v/>
      </c>
      <c r="AH40" s="33" t="str">
        <f t="shared" si="16"/>
        <v/>
      </c>
      <c r="AI40" s="33" t="str">
        <f t="shared" si="16"/>
        <v/>
      </c>
      <c r="AJ40" s="33" t="str">
        <f t="shared" si="16"/>
        <v/>
      </c>
      <c r="AK40" s="33" t="str">
        <f t="shared" si="16"/>
        <v/>
      </c>
      <c r="AL40" s="33" t="str">
        <f t="shared" si="16"/>
        <v/>
      </c>
      <c r="AM40" s="33" t="str">
        <f t="shared" si="16"/>
        <v/>
      </c>
      <c r="AN40" s="33" t="str">
        <f t="shared" si="16"/>
        <v/>
      </c>
      <c r="AO40" s="33" t="str">
        <f t="shared" si="16"/>
        <v/>
      </c>
      <c r="AP40" s="33" t="str">
        <f t="shared" si="16"/>
        <v/>
      </c>
      <c r="AQ40" s="33" t="str">
        <f t="shared" si="16"/>
        <v/>
      </c>
      <c r="AR40" s="33" t="str">
        <f t="shared" si="17"/>
        <v/>
      </c>
      <c r="AS40" s="33"/>
      <c r="AT40" s="33"/>
      <c r="AU40" s="33"/>
      <c r="AV40" s="33"/>
      <c r="AW40" s="33"/>
      <c r="AX40" s="33"/>
      <c r="AY40" s="33"/>
      <c r="AZ40" s="33"/>
      <c r="BA40" s="33"/>
      <c r="BB40" s="29"/>
      <c r="BC40" s="30"/>
      <c r="BD40" s="29"/>
    </row>
    <row r="41" spans="1:56" x14ac:dyDescent="0.35">
      <c r="A41" s="33"/>
      <c r="B41" s="33"/>
      <c r="C41" s="33"/>
      <c r="D41" s="33"/>
      <c r="E41" s="33"/>
      <c r="F41" s="35" t="str">
        <f t="shared" si="12"/>
        <v/>
      </c>
      <c r="G41" s="33" t="str">
        <f t="shared" si="12"/>
        <v/>
      </c>
      <c r="H41" s="33" t="str">
        <f t="shared" si="12"/>
        <v/>
      </c>
      <c r="I41" s="33" t="str">
        <f t="shared" si="12"/>
        <v/>
      </c>
      <c r="J41" s="54" t="str">
        <f t="shared" si="12"/>
        <v/>
      </c>
      <c r="K41" s="54" t="str">
        <f t="shared" si="12"/>
        <v/>
      </c>
      <c r="L41" s="54" t="str">
        <f t="shared" si="12"/>
        <v/>
      </c>
      <c r="M41" s="33" t="str">
        <f t="shared" si="12"/>
        <v/>
      </c>
      <c r="N41" s="33" t="str">
        <f t="shared" si="12"/>
        <v/>
      </c>
      <c r="O41" s="33" t="str">
        <f t="shared" si="12"/>
        <v/>
      </c>
      <c r="P41" s="33" t="str">
        <f t="shared" si="12"/>
        <v/>
      </c>
      <c r="Q41" s="33" t="str">
        <f t="shared" si="12"/>
        <v/>
      </c>
      <c r="R41" s="33" t="str">
        <f t="shared" si="13"/>
        <v/>
      </c>
      <c r="S41" s="33" t="str">
        <f t="shared" si="14"/>
        <v/>
      </c>
      <c r="T41" s="33" t="str">
        <f t="shared" si="14"/>
        <v/>
      </c>
      <c r="U41" s="33" t="str">
        <f t="shared" si="14"/>
        <v/>
      </c>
      <c r="V41" s="33" t="str">
        <f t="shared" si="14"/>
        <v/>
      </c>
      <c r="W41" s="33" t="str">
        <f t="shared" si="14"/>
        <v/>
      </c>
      <c r="X41" s="33" t="str">
        <f t="shared" si="14"/>
        <v/>
      </c>
      <c r="Y41" s="33" t="str">
        <f t="shared" si="14"/>
        <v/>
      </c>
      <c r="Z41" s="33" t="str">
        <f t="shared" si="14"/>
        <v/>
      </c>
      <c r="AA41" s="33" t="str">
        <f t="shared" si="14"/>
        <v/>
      </c>
      <c r="AB41" s="33" t="str">
        <f t="shared" si="14"/>
        <v/>
      </c>
      <c r="AC41" s="33" t="str">
        <f t="shared" si="14"/>
        <v/>
      </c>
      <c r="AD41" s="33" t="str">
        <f t="shared" si="14"/>
        <v/>
      </c>
      <c r="AE41" s="33" t="str">
        <f t="shared" si="15"/>
        <v/>
      </c>
      <c r="AF41" s="33" t="str">
        <f t="shared" si="16"/>
        <v/>
      </c>
      <c r="AG41" s="33" t="str">
        <f t="shared" si="16"/>
        <v/>
      </c>
      <c r="AH41" s="33" t="str">
        <f t="shared" si="16"/>
        <v/>
      </c>
      <c r="AI41" s="33" t="str">
        <f t="shared" si="16"/>
        <v/>
      </c>
      <c r="AJ41" s="33" t="str">
        <f t="shared" si="16"/>
        <v/>
      </c>
      <c r="AK41" s="33" t="str">
        <f t="shared" si="16"/>
        <v/>
      </c>
      <c r="AL41" s="33" t="str">
        <f t="shared" si="16"/>
        <v/>
      </c>
      <c r="AM41" s="33" t="str">
        <f t="shared" si="16"/>
        <v/>
      </c>
      <c r="AN41" s="33" t="str">
        <f t="shared" si="16"/>
        <v/>
      </c>
      <c r="AO41" s="33" t="str">
        <f t="shared" si="16"/>
        <v/>
      </c>
      <c r="AP41" s="33" t="str">
        <f t="shared" si="16"/>
        <v/>
      </c>
      <c r="AQ41" s="33" t="str">
        <f t="shared" si="16"/>
        <v/>
      </c>
      <c r="AR41" s="33" t="str">
        <f t="shared" si="17"/>
        <v/>
      </c>
      <c r="AS41" s="33"/>
      <c r="AT41" s="33"/>
      <c r="AU41" s="33"/>
      <c r="AV41" s="33"/>
      <c r="AW41" s="33"/>
      <c r="AX41" s="33"/>
      <c r="AY41" s="33"/>
      <c r="AZ41" s="33"/>
      <c r="BA41" s="33"/>
      <c r="BB41" s="29"/>
      <c r="BC41" s="30"/>
      <c r="BD41" s="29"/>
    </row>
    <row r="42" spans="1:56" x14ac:dyDescent="0.35">
      <c r="A42" s="33"/>
      <c r="B42" s="33"/>
      <c r="C42" s="33"/>
      <c r="D42" s="33"/>
      <c r="E42" s="33"/>
      <c r="F42" s="35" t="str">
        <f t="shared" si="12"/>
        <v/>
      </c>
      <c r="G42" s="33" t="str">
        <f t="shared" si="12"/>
        <v/>
      </c>
      <c r="H42" s="33" t="str">
        <f t="shared" si="12"/>
        <v/>
      </c>
      <c r="I42" s="33" t="str">
        <f t="shared" si="12"/>
        <v/>
      </c>
      <c r="J42" s="54" t="str">
        <f t="shared" si="12"/>
        <v/>
      </c>
      <c r="K42" s="54" t="str">
        <f t="shared" si="12"/>
        <v/>
      </c>
      <c r="L42" s="54" t="str">
        <f t="shared" si="12"/>
        <v/>
      </c>
      <c r="M42" s="33" t="str">
        <f t="shared" si="12"/>
        <v/>
      </c>
      <c r="N42" s="33" t="str">
        <f t="shared" si="12"/>
        <v/>
      </c>
      <c r="O42" s="33" t="str">
        <f t="shared" si="12"/>
        <v/>
      </c>
      <c r="P42" s="33" t="str">
        <f t="shared" si="12"/>
        <v/>
      </c>
      <c r="Q42" s="33" t="str">
        <f t="shared" si="12"/>
        <v/>
      </c>
      <c r="R42" s="33" t="str">
        <f t="shared" si="13"/>
        <v/>
      </c>
      <c r="S42" s="33" t="str">
        <f t="shared" si="14"/>
        <v/>
      </c>
      <c r="T42" s="33" t="str">
        <f t="shared" si="14"/>
        <v/>
      </c>
      <c r="U42" s="33" t="str">
        <f t="shared" si="14"/>
        <v/>
      </c>
      <c r="V42" s="33" t="str">
        <f t="shared" si="14"/>
        <v/>
      </c>
      <c r="W42" s="33" t="str">
        <f t="shared" si="14"/>
        <v/>
      </c>
      <c r="X42" s="33" t="str">
        <f t="shared" si="14"/>
        <v/>
      </c>
      <c r="Y42" s="33" t="str">
        <f t="shared" si="14"/>
        <v/>
      </c>
      <c r="Z42" s="33" t="str">
        <f t="shared" si="14"/>
        <v/>
      </c>
      <c r="AA42" s="33" t="str">
        <f t="shared" si="14"/>
        <v/>
      </c>
      <c r="AB42" s="33" t="str">
        <f t="shared" si="14"/>
        <v/>
      </c>
      <c r="AC42" s="33" t="str">
        <f t="shared" si="14"/>
        <v/>
      </c>
      <c r="AD42" s="33" t="str">
        <f t="shared" si="14"/>
        <v/>
      </c>
      <c r="AE42" s="33" t="str">
        <f t="shared" si="15"/>
        <v/>
      </c>
      <c r="AF42" s="33" t="str">
        <f t="shared" si="16"/>
        <v/>
      </c>
      <c r="AG42" s="33" t="str">
        <f t="shared" si="16"/>
        <v/>
      </c>
      <c r="AH42" s="33" t="str">
        <f t="shared" si="16"/>
        <v/>
      </c>
      <c r="AI42" s="33" t="str">
        <f t="shared" si="16"/>
        <v/>
      </c>
      <c r="AJ42" s="33" t="str">
        <f t="shared" si="16"/>
        <v/>
      </c>
      <c r="AK42" s="33" t="str">
        <f t="shared" si="16"/>
        <v/>
      </c>
      <c r="AL42" s="33" t="str">
        <f t="shared" si="16"/>
        <v/>
      </c>
      <c r="AM42" s="33" t="str">
        <f t="shared" si="16"/>
        <v/>
      </c>
      <c r="AN42" s="33" t="str">
        <f t="shared" si="16"/>
        <v/>
      </c>
      <c r="AO42" s="33" t="str">
        <f t="shared" si="16"/>
        <v/>
      </c>
      <c r="AP42" s="33" t="str">
        <f t="shared" si="16"/>
        <v/>
      </c>
      <c r="AQ42" s="33" t="str">
        <f t="shared" si="16"/>
        <v/>
      </c>
      <c r="AR42" s="33" t="str">
        <f t="shared" si="17"/>
        <v/>
      </c>
      <c r="AS42" s="33"/>
      <c r="AT42" s="33"/>
      <c r="AU42" s="33"/>
      <c r="AV42" s="33"/>
      <c r="AW42" s="33"/>
      <c r="AX42" s="33"/>
      <c r="AY42" s="33"/>
      <c r="AZ42" s="33"/>
      <c r="BA42" s="33"/>
      <c r="BB42" s="29"/>
      <c r="BC42" s="30"/>
      <c r="BD42" s="29"/>
    </row>
    <row r="43" spans="1:56" x14ac:dyDescent="0.35">
      <c r="A43" s="29"/>
      <c r="B43" s="29"/>
      <c r="C43" s="29"/>
      <c r="D43" s="29"/>
      <c r="E43" s="30"/>
      <c r="F43" s="29"/>
      <c r="G43" s="29"/>
      <c r="H43" s="29"/>
      <c r="I43" s="30"/>
      <c r="J43" s="30"/>
      <c r="K43" s="30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30"/>
      <c r="BC43" s="29"/>
    </row>
    <row r="44" spans="1:56" ht="15" customHeight="1" thickBot="1" x14ac:dyDescent="0.4">
      <c r="A44" s="37" t="s">
        <v>62</v>
      </c>
      <c r="B44" s="37"/>
      <c r="C44" s="37"/>
      <c r="D44" s="38"/>
      <c r="E44" s="38">
        <f t="shared" ref="E44:AR44" si="18">SUM(E28:E42)</f>
        <v>0</v>
      </c>
      <c r="F44" s="38">
        <f t="shared" si="18"/>
        <v>0</v>
      </c>
      <c r="G44" s="38">
        <f t="shared" si="18"/>
        <v>0</v>
      </c>
      <c r="H44" s="38">
        <f t="shared" si="18"/>
        <v>0</v>
      </c>
      <c r="I44" s="38">
        <f t="shared" si="18"/>
        <v>0</v>
      </c>
      <c r="J44" s="38">
        <f t="shared" si="18"/>
        <v>0</v>
      </c>
      <c r="K44" s="38">
        <f t="shared" si="18"/>
        <v>0</v>
      </c>
      <c r="L44" s="38">
        <f t="shared" si="18"/>
        <v>0</v>
      </c>
      <c r="M44" s="38">
        <f t="shared" si="18"/>
        <v>0</v>
      </c>
      <c r="N44" s="38">
        <f t="shared" si="18"/>
        <v>0</v>
      </c>
      <c r="O44" s="38">
        <f t="shared" si="18"/>
        <v>0</v>
      </c>
      <c r="P44" s="38">
        <f t="shared" si="18"/>
        <v>0</v>
      </c>
      <c r="Q44" s="38">
        <f t="shared" si="18"/>
        <v>0</v>
      </c>
      <c r="R44" s="38">
        <f t="shared" si="18"/>
        <v>0</v>
      </c>
      <c r="S44" s="38">
        <f t="shared" si="18"/>
        <v>0</v>
      </c>
      <c r="T44" s="38">
        <f t="shared" si="18"/>
        <v>0</v>
      </c>
      <c r="U44" s="38">
        <f t="shared" si="18"/>
        <v>0</v>
      </c>
      <c r="V44" s="38">
        <f t="shared" si="18"/>
        <v>0</v>
      </c>
      <c r="W44" s="38">
        <f t="shared" si="18"/>
        <v>0</v>
      </c>
      <c r="X44" s="38">
        <f t="shared" si="18"/>
        <v>0</v>
      </c>
      <c r="Y44" s="38">
        <f t="shared" si="18"/>
        <v>0</v>
      </c>
      <c r="Z44" s="38">
        <f t="shared" si="18"/>
        <v>0</v>
      </c>
      <c r="AA44" s="38">
        <f t="shared" si="18"/>
        <v>0</v>
      </c>
      <c r="AB44" s="38">
        <f t="shared" si="18"/>
        <v>0</v>
      </c>
      <c r="AC44" s="38">
        <f t="shared" si="18"/>
        <v>0</v>
      </c>
      <c r="AD44" s="38">
        <f t="shared" si="18"/>
        <v>0</v>
      </c>
      <c r="AE44" s="38">
        <f t="shared" si="18"/>
        <v>0</v>
      </c>
      <c r="AF44" s="38">
        <f t="shared" si="18"/>
        <v>0</v>
      </c>
      <c r="AG44" s="38">
        <f t="shared" si="18"/>
        <v>0</v>
      </c>
      <c r="AH44" s="38">
        <f t="shared" si="18"/>
        <v>0</v>
      </c>
      <c r="AI44" s="38">
        <f t="shared" si="18"/>
        <v>0</v>
      </c>
      <c r="AJ44" s="38">
        <f t="shared" si="18"/>
        <v>0</v>
      </c>
      <c r="AK44" s="38">
        <f t="shared" si="18"/>
        <v>0</v>
      </c>
      <c r="AL44" s="38">
        <f t="shared" si="18"/>
        <v>0</v>
      </c>
      <c r="AM44" s="38">
        <f t="shared" si="18"/>
        <v>0</v>
      </c>
      <c r="AN44" s="38">
        <f t="shared" si="18"/>
        <v>0</v>
      </c>
      <c r="AO44" s="38">
        <f t="shared" si="18"/>
        <v>0</v>
      </c>
      <c r="AP44" s="38">
        <f t="shared" si="18"/>
        <v>0</v>
      </c>
      <c r="AQ44" s="38">
        <f t="shared" si="18"/>
        <v>0</v>
      </c>
      <c r="AR44" s="38">
        <f t="shared" si="18"/>
        <v>0</v>
      </c>
      <c r="AS44" s="38"/>
      <c r="AT44" s="29"/>
      <c r="AU44" s="29"/>
      <c r="AV44" s="29"/>
      <c r="AW44" s="29"/>
      <c r="AX44" s="29"/>
      <c r="AY44" s="29"/>
      <c r="AZ44" s="29"/>
      <c r="BA44" s="29"/>
      <c r="BB44" s="30"/>
      <c r="BC44" s="29"/>
    </row>
    <row r="45" spans="1:56" ht="15" customHeight="1" thickTop="1" x14ac:dyDescent="0.35">
      <c r="L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C45" s="3"/>
    </row>
    <row r="46" spans="1:56" x14ac:dyDescent="0.35">
      <c r="L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6" x14ac:dyDescent="0.35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6" x14ac:dyDescent="0.35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x14ac:dyDescent="0.35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x14ac:dyDescent="0.35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</sheetData>
  <sheetProtection algorithmName="SHA-512" hashValue="rDlNS2Hy6Lw4Mo8CHhYDx8Sp3YyKLX5nKOCXvcqL9F+i2QBRDJW0YItu0nx24O500j2WiQSFho2+xFPFA1bYwg==" saltValue="D1SJZkkxQ+XSysc423QWvw==" spinCount="100000" sheet="1" objects="1" scenarios="1"/>
  <mergeCells count="3">
    <mergeCell ref="A1:BC1"/>
    <mergeCell ref="A3:BC3"/>
    <mergeCell ref="A26:AS26"/>
  </mergeCells>
  <dataValidations count="2">
    <dataValidation type="list" allowBlank="1" showInputMessage="1" showErrorMessage="1" errorTitle="Invalid Type of Expense" error="Select a Non-Payroll category, Contract Labor or Essentials Bonus" promptTitle="Type of Expense" prompt="Select a Non-Payroll category, Contract Labor or Essentials Bonus" sqref="C28:C42" xr:uid="{83E4171C-C11A-4D1B-B5E7-592F7A0752D6}">
      <formula1>dvTypeOfExpenseList</formula1>
    </dataValidation>
    <dataValidation type="list" allowBlank="1" showInputMessage="1" showErrorMessage="1" errorTitle="Invalid Group" error="Select Energy, Mobility, Energy Finance, or ES Leadership" promptTitle="Group" prompt="Select Energy, Mobility, Energy Finance, or ES Leadership" sqref="B5:B20 B28:B42" xr:uid="{A4FD8F78-E21B-42F5-B843-5F0B5412B264}">
      <formula1>"Energy,Mobility,Energy Finance,ES Leadership"</formula1>
    </dataValidation>
  </dataValidations>
  <pageMargins left="0.7" right="0.7" top="0.75" bottom="0.75" header="0.3" footer="0.3"/>
  <customProperties>
    <customPr name="isReportSheetChanged" r:id="rId1"/>
  </customProperties>
  <ignoredErrors>
    <ignoredError sqref="J5:BC20 AS28:AS42" calculatedColumn="1"/>
    <ignoredError sqref="E44:AR44 H22:BB22" unlockedFormula="1"/>
    <ignoredError sqref="F28:AR42" unlockedFormula="1" calculatedColumn="1"/>
  </ignoredErrors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="80" zoomScaleNormal="80" workbookViewId="0">
      <selection activeCell="E5" sqref="E5"/>
    </sheetView>
  </sheetViews>
  <sheetFormatPr defaultRowHeight="14.5" x14ac:dyDescent="0.35"/>
  <cols>
    <col min="1" max="1" width="15.1796875" customWidth="1"/>
    <col min="2" max="2" width="38.54296875" customWidth="1"/>
    <col min="3" max="3" width="52" customWidth="1"/>
  </cols>
  <sheetData>
    <row r="1" spans="1:3" ht="18.5" customHeight="1" x14ac:dyDescent="0.35">
      <c r="A1" s="71" t="s">
        <v>64</v>
      </c>
      <c r="B1" s="72"/>
      <c r="C1" s="72"/>
    </row>
    <row r="2" spans="1:3" x14ac:dyDescent="0.35">
      <c r="A2" s="40"/>
      <c r="B2" s="40"/>
      <c r="C2" s="40"/>
    </row>
    <row r="3" spans="1:3" ht="15" customHeight="1" thickBot="1" x14ac:dyDescent="0.4">
      <c r="A3" s="48" t="s">
        <v>65</v>
      </c>
      <c r="B3" s="48" t="s">
        <v>66</v>
      </c>
      <c r="C3" s="48" t="s">
        <v>67</v>
      </c>
    </row>
    <row r="4" spans="1:3" ht="58" customHeight="1" x14ac:dyDescent="0.35">
      <c r="A4" s="45">
        <v>1</v>
      </c>
      <c r="B4" s="46" t="s">
        <v>68</v>
      </c>
      <c r="C4" s="47" t="s">
        <v>69</v>
      </c>
    </row>
    <row r="5" spans="1:3" ht="72.5" customHeight="1" x14ac:dyDescent="0.35">
      <c r="A5" s="41">
        <v>2</v>
      </c>
      <c r="B5" s="42" t="s">
        <v>70</v>
      </c>
      <c r="C5" s="43" t="s">
        <v>71</v>
      </c>
    </row>
    <row r="6" spans="1:3" ht="87" customHeight="1" x14ac:dyDescent="0.35">
      <c r="A6" s="41">
        <v>3</v>
      </c>
      <c r="B6" s="42" t="s">
        <v>72</v>
      </c>
      <c r="C6" s="43" t="s">
        <v>73</v>
      </c>
    </row>
    <row r="7" spans="1:3" ht="72.5" customHeight="1" x14ac:dyDescent="0.35">
      <c r="A7" s="41">
        <v>4</v>
      </c>
      <c r="B7" s="42" t="s">
        <v>74</v>
      </c>
      <c r="C7" s="43" t="s">
        <v>75</v>
      </c>
    </row>
    <row r="8" spans="1:3" ht="72.5" customHeight="1" x14ac:dyDescent="0.35">
      <c r="A8" s="41">
        <v>5</v>
      </c>
      <c r="B8" s="42" t="s">
        <v>76</v>
      </c>
      <c r="C8" s="43" t="s">
        <v>77</v>
      </c>
    </row>
    <row r="9" spans="1:3" x14ac:dyDescent="0.35">
      <c r="A9" s="44"/>
      <c r="B9" s="44"/>
      <c r="C9" s="44"/>
    </row>
    <row r="10" spans="1:3" ht="8" customHeight="1" x14ac:dyDescent="0.35">
      <c r="A10" s="40"/>
      <c r="B10" s="40"/>
      <c r="C10" s="40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24" sqref="L24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1"/>
  <sheetViews>
    <sheetView zoomScale="60" workbookViewId="0">
      <selection activeCell="G6" sqref="G6 G3"/>
    </sheetView>
  </sheetViews>
  <sheetFormatPr defaultRowHeight="14.5" x14ac:dyDescent="0.35"/>
  <cols>
    <col min="2" max="2" width="31.81640625" customWidth="1"/>
    <col min="3" max="3" width="47.26953125" customWidth="1"/>
    <col min="4" max="4" width="15.453125" customWidth="1"/>
    <col min="5" max="5" width="37.90625" bestFit="1" customWidth="1"/>
    <col min="6" max="6" width="17.81640625" customWidth="1"/>
    <col min="7" max="9" width="15.453125" customWidth="1"/>
    <col min="10" max="10" width="13" customWidth="1"/>
  </cols>
  <sheetData>
    <row r="1" spans="1:10" x14ac:dyDescent="0.35">
      <c r="A1" s="63"/>
      <c r="B1" s="22" t="s">
        <v>78</v>
      </c>
      <c r="C1" s="22" t="s">
        <v>79</v>
      </c>
      <c r="D1" s="22" t="s">
        <v>80</v>
      </c>
      <c r="E1" s="22" t="s">
        <v>81</v>
      </c>
      <c r="F1" s="22" t="s">
        <v>82</v>
      </c>
      <c r="G1" s="22" t="s">
        <v>83</v>
      </c>
      <c r="H1" s="22" t="s">
        <v>83</v>
      </c>
      <c r="I1" s="22" t="s">
        <v>83</v>
      </c>
      <c r="J1" s="8"/>
    </row>
    <row r="2" spans="1:10" x14ac:dyDescent="0.35">
      <c r="A2" s="63"/>
      <c r="B2" s="23"/>
      <c r="C2" s="23"/>
      <c r="D2" s="22" t="s">
        <v>84</v>
      </c>
      <c r="E2" s="22" t="s">
        <v>85</v>
      </c>
      <c r="F2" s="22" t="s">
        <v>86</v>
      </c>
      <c r="G2" s="22" t="s">
        <v>87</v>
      </c>
      <c r="H2" s="22" t="s">
        <v>88</v>
      </c>
      <c r="I2" s="22" t="s">
        <v>89</v>
      </c>
      <c r="J2" s="8"/>
    </row>
    <row r="3" spans="1:10" x14ac:dyDescent="0.35">
      <c r="A3" s="63" t="s">
        <v>2</v>
      </c>
      <c r="B3" s="20" t="s">
        <v>90</v>
      </c>
      <c r="C3" s="20" t="s">
        <v>91</v>
      </c>
      <c r="D3" s="21">
        <v>14053713.460000001</v>
      </c>
      <c r="E3" s="21">
        <v>17132061.468371</v>
      </c>
      <c r="F3" s="27">
        <f t="shared" ref="F3:F9" si="0">IFERROR(E3/D3-1,0)</f>
        <v>0.21904160897635094</v>
      </c>
      <c r="G3" s="21">
        <v>17864963.001421001</v>
      </c>
      <c r="H3" s="21">
        <f>G3</f>
        <v>17864963.001421001</v>
      </c>
      <c r="I3" s="21">
        <f>H3</f>
        <v>17864963.001421001</v>
      </c>
      <c r="J3" s="20" t="s">
        <v>92</v>
      </c>
    </row>
    <row r="4" spans="1:10" x14ac:dyDescent="0.35">
      <c r="A4" s="63" t="s">
        <v>5</v>
      </c>
      <c r="B4" s="20" t="s">
        <v>90</v>
      </c>
      <c r="C4" s="20" t="s">
        <v>93</v>
      </c>
      <c r="D4" s="21">
        <v>1429766.59</v>
      </c>
      <c r="E4" s="21">
        <v>1954237.154718</v>
      </c>
      <c r="F4" s="27">
        <f t="shared" si="0"/>
        <v>0.36682250682469775</v>
      </c>
      <c r="G4" s="21">
        <f>$G$3*E12</f>
        <v>2037838.5011922885</v>
      </c>
      <c r="H4" s="21">
        <f t="shared" ref="H4:I4" si="1">G4</f>
        <v>2037838.5011922885</v>
      </c>
      <c r="I4" s="21">
        <f t="shared" si="1"/>
        <v>2037838.5011922885</v>
      </c>
      <c r="J4" s="7"/>
    </row>
    <row r="5" spans="1:10" x14ac:dyDescent="0.35">
      <c r="A5" s="63" t="s">
        <v>6</v>
      </c>
      <c r="B5" s="20" t="s">
        <v>90</v>
      </c>
      <c r="C5" s="20" t="s">
        <v>94</v>
      </c>
      <c r="D5" s="21">
        <v>1908575.15</v>
      </c>
      <c r="E5" s="21">
        <v>2599950.9853790002</v>
      </c>
      <c r="F5" s="27">
        <f t="shared" si="0"/>
        <v>0.36224711161045997</v>
      </c>
      <c r="G5" s="21">
        <f>$G$3*E13</f>
        <v>2711175.665873934</v>
      </c>
      <c r="H5" s="21">
        <f t="shared" ref="H5:I5" si="2">G5</f>
        <v>2711175.665873934</v>
      </c>
      <c r="I5" s="21">
        <f t="shared" si="2"/>
        <v>2711175.665873934</v>
      </c>
      <c r="J5" s="7"/>
    </row>
    <row r="6" spans="1:10" x14ac:dyDescent="0.35">
      <c r="A6" s="63" t="s">
        <v>3</v>
      </c>
      <c r="B6" s="20" t="s">
        <v>90</v>
      </c>
      <c r="C6" s="20" t="s">
        <v>95</v>
      </c>
      <c r="D6" s="21">
        <v>4072138.47</v>
      </c>
      <c r="E6" s="21">
        <v>4275135.4790589996</v>
      </c>
      <c r="F6" s="27">
        <f t="shared" si="0"/>
        <v>4.9850222568438296E-2</v>
      </c>
      <c r="G6" s="21">
        <f>$G$3*E14</f>
        <v>4458023.7644170318</v>
      </c>
      <c r="H6" s="21">
        <f t="shared" ref="H6:I6" si="3">G6</f>
        <v>4458023.7644170318</v>
      </c>
      <c r="I6" s="21">
        <f t="shared" si="3"/>
        <v>4458023.7644170318</v>
      </c>
      <c r="J6" s="7"/>
    </row>
    <row r="7" spans="1:10" x14ac:dyDescent="0.35">
      <c r="A7" s="63" t="s">
        <v>7</v>
      </c>
      <c r="B7" s="20" t="s">
        <v>90</v>
      </c>
      <c r="C7" s="20" t="s">
        <v>96</v>
      </c>
      <c r="D7" s="21">
        <v>122615.01</v>
      </c>
      <c r="E7" s="21">
        <v>97547.456286000001</v>
      </c>
      <c r="F7" s="27">
        <f t="shared" si="0"/>
        <v>-0.20444115050840839</v>
      </c>
      <c r="G7" s="21">
        <f>$G$3*E15</f>
        <v>101720.49059299954</v>
      </c>
      <c r="H7" s="21">
        <f t="shared" ref="H7:I7" si="4">G7</f>
        <v>101720.49059299954</v>
      </c>
      <c r="I7" s="21">
        <f t="shared" si="4"/>
        <v>101720.49059299954</v>
      </c>
      <c r="J7" s="7"/>
    </row>
    <row r="8" spans="1:10" x14ac:dyDescent="0.35">
      <c r="A8" s="63" t="s">
        <v>8</v>
      </c>
      <c r="B8" s="20" t="s">
        <v>90</v>
      </c>
      <c r="C8" s="20" t="s">
        <v>97</v>
      </c>
      <c r="D8" s="21">
        <v>61091.49</v>
      </c>
      <c r="E8" s="21">
        <v>362.393959</v>
      </c>
      <c r="F8" s="27">
        <f t="shared" si="0"/>
        <v>-0.99406801243511989</v>
      </c>
      <c r="G8" s="21">
        <f>$G$3*E16</f>
        <v>377.8970021457128</v>
      </c>
      <c r="H8" s="21">
        <f t="shared" ref="H8:I8" si="5">G8</f>
        <v>377.8970021457128</v>
      </c>
      <c r="I8" s="21">
        <f t="shared" si="5"/>
        <v>377.8970021457128</v>
      </c>
      <c r="J8" s="7"/>
    </row>
    <row r="9" spans="1:10" x14ac:dyDescent="0.35">
      <c r="A9" s="63" t="s">
        <v>10</v>
      </c>
      <c r="B9" s="20" t="s">
        <v>90</v>
      </c>
      <c r="C9" s="20" t="s">
        <v>98</v>
      </c>
      <c r="D9" s="21">
        <v>1054901.95</v>
      </c>
      <c r="E9" s="21">
        <v>1203507.6000000001</v>
      </c>
      <c r="F9" s="27">
        <f t="shared" si="0"/>
        <v>0.14087152839180939</v>
      </c>
      <c r="G9" s="21">
        <f>((E9/D9-1)+1)*E9</f>
        <v>1373047.5550431586</v>
      </c>
      <c r="H9" s="21">
        <f t="shared" ref="H9:I9" si="6">G9</f>
        <v>1373047.5550431586</v>
      </c>
      <c r="I9" s="21">
        <f t="shared" si="6"/>
        <v>1373047.5550431586</v>
      </c>
      <c r="J9" s="7"/>
    </row>
    <row r="10" spans="1:10" x14ac:dyDescent="0.35">
      <c r="A10" s="63"/>
      <c r="B10" s="24"/>
      <c r="C10" s="24"/>
      <c r="D10" s="25">
        <f>SUM(D3:D9)</f>
        <v>22702802.119999997</v>
      </c>
      <c r="E10" s="25">
        <f>SUM(E3:E9)</f>
        <v>27262802.537772</v>
      </c>
      <c r="F10" s="26"/>
      <c r="G10" s="25">
        <f>SUM(G3:G9)</f>
        <v>28547146.875542562</v>
      </c>
      <c r="H10" s="25">
        <f>SUM(H3:H9)</f>
        <v>28547146.875542562</v>
      </c>
      <c r="I10" s="25">
        <f>SUM(I3:I9)</f>
        <v>28547146.875542562</v>
      </c>
      <c r="J10" s="64"/>
    </row>
    <row r="11" spans="1:10" x14ac:dyDescent="0.35">
      <c r="A11" s="63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35">
      <c r="A12" s="63"/>
      <c r="B12" s="20" t="s">
        <v>90</v>
      </c>
      <c r="C12" s="20" t="s">
        <v>99</v>
      </c>
      <c r="D12" s="27">
        <f t="shared" ref="D12:D17" si="7">D4/$D$3</f>
        <v>0.1017358575062338</v>
      </c>
      <c r="E12" s="27">
        <f t="shared" ref="E12:E17" si="8">E4/$E$3</f>
        <v>0.11406900204776223</v>
      </c>
      <c r="F12" s="27"/>
      <c r="G12" s="27">
        <f t="shared" ref="G12:G17" si="9">G4/$G$3</f>
        <v>0.11406900204776223</v>
      </c>
      <c r="H12" s="27">
        <f t="shared" ref="H12:H17" si="10">H4/$H$3</f>
        <v>0.11406900204776223</v>
      </c>
      <c r="I12" s="27">
        <f t="shared" ref="I12:I17" si="11">I4/$I$3</f>
        <v>0.11406900204776223</v>
      </c>
      <c r="J12" s="7"/>
    </row>
    <row r="13" spans="1:10" x14ac:dyDescent="0.35">
      <c r="A13" s="63"/>
      <c r="B13" s="20" t="s">
        <v>90</v>
      </c>
      <c r="C13" s="20" t="s">
        <v>100</v>
      </c>
      <c r="D13" s="27">
        <f t="shared" si="7"/>
        <v>0.13580575379114068</v>
      </c>
      <c r="E13" s="27">
        <f t="shared" si="8"/>
        <v>0.15175937759615196</v>
      </c>
      <c r="F13" s="19"/>
      <c r="G13" s="27">
        <f t="shared" si="9"/>
        <v>0.15175937759615196</v>
      </c>
      <c r="H13" s="27">
        <f t="shared" si="10"/>
        <v>0.15175937759615196</v>
      </c>
      <c r="I13" s="27">
        <f t="shared" si="11"/>
        <v>0.15175937759615196</v>
      </c>
      <c r="J13" s="7"/>
    </row>
    <row r="14" spans="1:10" x14ac:dyDescent="0.35">
      <c r="A14" s="63"/>
      <c r="B14" s="20" t="s">
        <v>90</v>
      </c>
      <c r="C14" s="20" t="s">
        <v>101</v>
      </c>
      <c r="D14" s="27">
        <f t="shared" si="7"/>
        <v>0.2897553363095251</v>
      </c>
      <c r="E14" s="27">
        <f t="shared" si="8"/>
        <v>0.24954005021238698</v>
      </c>
      <c r="F14" s="19"/>
      <c r="G14" s="27">
        <f t="shared" si="9"/>
        <v>0.24954005021238695</v>
      </c>
      <c r="H14" s="27">
        <f t="shared" si="10"/>
        <v>0.24954005021238695</v>
      </c>
      <c r="I14" s="27">
        <f t="shared" si="11"/>
        <v>0.24954005021238695</v>
      </c>
      <c r="J14" s="7"/>
    </row>
    <row r="15" spans="1:10" x14ac:dyDescent="0.35">
      <c r="A15" s="63"/>
      <c r="B15" s="20" t="s">
        <v>90</v>
      </c>
      <c r="C15" s="20" t="s">
        <v>102</v>
      </c>
      <c r="D15" s="27">
        <f t="shared" si="7"/>
        <v>8.7247409980991588E-3</v>
      </c>
      <c r="E15" s="27">
        <f t="shared" si="8"/>
        <v>5.6938539746714603E-3</v>
      </c>
      <c r="F15" s="19"/>
      <c r="G15" s="27">
        <f t="shared" si="9"/>
        <v>5.6938539746714603E-3</v>
      </c>
      <c r="H15" s="27">
        <f t="shared" si="10"/>
        <v>5.6938539746714603E-3</v>
      </c>
      <c r="I15" s="27">
        <f t="shared" si="11"/>
        <v>5.6938539746714603E-3</v>
      </c>
      <c r="J15" s="7"/>
    </row>
    <row r="16" spans="1:10" x14ac:dyDescent="0.35">
      <c r="A16" s="63"/>
      <c r="B16" s="20" t="s">
        <v>90</v>
      </c>
      <c r="C16" s="20" t="s">
        <v>103</v>
      </c>
      <c r="D16" s="27">
        <f t="shared" si="7"/>
        <v>4.3469998284709583E-3</v>
      </c>
      <c r="E16" s="27">
        <f t="shared" si="8"/>
        <v>2.1152968641225532E-5</v>
      </c>
      <c r="F16" s="19"/>
      <c r="G16" s="27">
        <f t="shared" si="9"/>
        <v>2.1152968641225532E-5</v>
      </c>
      <c r="H16" s="27">
        <f t="shared" si="10"/>
        <v>2.1152968641225532E-5</v>
      </c>
      <c r="I16" s="27">
        <f t="shared" si="11"/>
        <v>2.1152968641225532E-5</v>
      </c>
      <c r="J16" s="7"/>
    </row>
    <row r="17" spans="1:10" x14ac:dyDescent="0.35">
      <c r="A17" s="63"/>
      <c r="B17" s="20" t="s">
        <v>90</v>
      </c>
      <c r="C17" s="20" t="s">
        <v>98</v>
      </c>
      <c r="D17" s="27">
        <f t="shared" si="7"/>
        <v>7.5062150157144292E-2</v>
      </c>
      <c r="E17" s="27">
        <f t="shared" si="8"/>
        <v>7.0248849049596329E-2</v>
      </c>
      <c r="F17" s="19"/>
      <c r="G17" s="27">
        <f t="shared" si="9"/>
        <v>7.6857005241709409E-2</v>
      </c>
      <c r="H17" s="27">
        <f t="shared" si="10"/>
        <v>7.6857005241709409E-2</v>
      </c>
      <c r="I17" s="27">
        <f t="shared" si="11"/>
        <v>7.6857005241709409E-2</v>
      </c>
      <c r="J17" s="7"/>
    </row>
    <row r="18" spans="1:10" x14ac:dyDescent="0.35">
      <c r="A18" s="63"/>
      <c r="B18" s="63"/>
      <c r="C18" s="63"/>
      <c r="D18" s="63"/>
      <c r="E18" s="63"/>
      <c r="F18" s="63"/>
      <c r="G18" s="63"/>
      <c r="H18" s="63"/>
      <c r="I18" s="63"/>
      <c r="J18" s="63"/>
    </row>
    <row r="19" spans="1:10" x14ac:dyDescent="0.35">
      <c r="A19" s="63"/>
      <c r="B19" s="22" t="s">
        <v>78</v>
      </c>
      <c r="C19" s="22" t="s">
        <v>79</v>
      </c>
      <c r="D19" s="22" t="s">
        <v>80</v>
      </c>
      <c r="E19" s="22" t="s">
        <v>81</v>
      </c>
      <c r="F19" s="22" t="s">
        <v>82</v>
      </c>
      <c r="G19" s="22" t="s">
        <v>83</v>
      </c>
      <c r="H19" s="22" t="s">
        <v>83</v>
      </c>
      <c r="I19" s="22" t="s">
        <v>83</v>
      </c>
      <c r="J19" s="8"/>
    </row>
    <row r="20" spans="1:10" x14ac:dyDescent="0.35">
      <c r="A20" s="63"/>
      <c r="B20" s="23"/>
      <c r="C20" s="23"/>
      <c r="D20" s="22" t="s">
        <v>84</v>
      </c>
      <c r="E20" s="22" t="s">
        <v>85</v>
      </c>
      <c r="F20" s="22" t="s">
        <v>86</v>
      </c>
      <c r="G20" s="22" t="s">
        <v>87</v>
      </c>
      <c r="H20" s="22" t="s">
        <v>88</v>
      </c>
      <c r="I20" s="22" t="s">
        <v>89</v>
      </c>
      <c r="J20" s="8"/>
    </row>
    <row r="21" spans="1:10" x14ac:dyDescent="0.35">
      <c r="A21" s="63" t="s">
        <v>2</v>
      </c>
      <c r="B21" s="20" t="s">
        <v>104</v>
      </c>
      <c r="C21" s="20" t="s">
        <v>91</v>
      </c>
      <c r="D21" s="21">
        <v>2426501.11</v>
      </c>
      <c r="E21" s="21">
        <v>2947996.2885719999</v>
      </c>
      <c r="F21" s="27">
        <f t="shared" ref="F21:F27" si="12">IFERROR(E21/D21-1,0)</f>
        <v>0.21491652174517251</v>
      </c>
      <c r="G21" s="21">
        <v>3072936.5000049998</v>
      </c>
      <c r="H21" s="21">
        <f t="shared" ref="H21:I21" si="13">G21</f>
        <v>3072936.5000049998</v>
      </c>
      <c r="I21" s="21">
        <f t="shared" si="13"/>
        <v>3072936.5000049998</v>
      </c>
      <c r="J21" s="20" t="s">
        <v>92</v>
      </c>
    </row>
    <row r="22" spans="1:10" x14ac:dyDescent="0.35">
      <c r="A22" s="63" t="s">
        <v>5</v>
      </c>
      <c r="B22" s="20" t="s">
        <v>104</v>
      </c>
      <c r="C22" s="20" t="s">
        <v>93</v>
      </c>
      <c r="D22" s="21">
        <v>274812.34000000003</v>
      </c>
      <c r="E22" s="21">
        <v>321560.410248</v>
      </c>
      <c r="F22" s="27">
        <f t="shared" si="12"/>
        <v>0.1701090651460555</v>
      </c>
      <c r="G22" s="21">
        <f>$G$21*E30</f>
        <v>335188.5907856113</v>
      </c>
      <c r="H22" s="21">
        <f t="shared" ref="H22:I22" si="14">G22</f>
        <v>335188.5907856113</v>
      </c>
      <c r="I22" s="21">
        <f t="shared" si="14"/>
        <v>335188.5907856113</v>
      </c>
      <c r="J22" s="7"/>
    </row>
    <row r="23" spans="1:10" x14ac:dyDescent="0.35">
      <c r="A23" s="63" t="s">
        <v>6</v>
      </c>
      <c r="B23" s="20" t="s">
        <v>104</v>
      </c>
      <c r="C23" s="20" t="s">
        <v>94</v>
      </c>
      <c r="D23" s="21">
        <v>401337.9</v>
      </c>
      <c r="E23" s="21">
        <v>426285.43291199999</v>
      </c>
      <c r="F23" s="27">
        <f t="shared" si="12"/>
        <v>6.2160919544353987E-2</v>
      </c>
      <c r="G23" s="21">
        <f>$G$21*E31</f>
        <v>444352.00657944253</v>
      </c>
      <c r="H23" s="21">
        <f t="shared" ref="H23:I23" si="15">G23</f>
        <v>444352.00657944253</v>
      </c>
      <c r="I23" s="21">
        <f t="shared" si="15"/>
        <v>444352.00657944253</v>
      </c>
      <c r="J23" s="7"/>
    </row>
    <row r="24" spans="1:10" x14ac:dyDescent="0.35">
      <c r="A24" s="63" t="s">
        <v>3</v>
      </c>
      <c r="B24" s="20" t="s">
        <v>104</v>
      </c>
      <c r="C24" s="20" t="s">
        <v>95</v>
      </c>
      <c r="D24" s="21">
        <v>705227.56</v>
      </c>
      <c r="E24" s="21">
        <v>843955.68235899997</v>
      </c>
      <c r="F24" s="27">
        <f t="shared" si="12"/>
        <v>0.19671398315601829</v>
      </c>
      <c r="G24" s="21">
        <f>$G$21*E32</f>
        <v>879723.70615291444</v>
      </c>
      <c r="H24" s="21">
        <f t="shared" ref="H24:I24" si="16">G24</f>
        <v>879723.70615291444</v>
      </c>
      <c r="I24" s="21">
        <f t="shared" si="16"/>
        <v>879723.70615291444</v>
      </c>
      <c r="J24" s="7"/>
    </row>
    <row r="25" spans="1:10" x14ac:dyDescent="0.35">
      <c r="A25" s="63" t="s">
        <v>7</v>
      </c>
      <c r="B25" s="20" t="s">
        <v>104</v>
      </c>
      <c r="C25" s="20" t="s">
        <v>96</v>
      </c>
      <c r="D25" s="21">
        <v>27917.21</v>
      </c>
      <c r="E25" s="21">
        <v>13900.738125</v>
      </c>
      <c r="F25" s="27">
        <f t="shared" si="12"/>
        <v>-0.5020728029412681</v>
      </c>
      <c r="G25" s="21">
        <f>$G$21*E33</f>
        <v>14489.870874978307</v>
      </c>
      <c r="H25" s="21">
        <f t="shared" ref="H25:I25" si="17">G25</f>
        <v>14489.870874978307</v>
      </c>
      <c r="I25" s="21">
        <f t="shared" si="17"/>
        <v>14489.870874978307</v>
      </c>
      <c r="J25" s="7"/>
    </row>
    <row r="26" spans="1:10" x14ac:dyDescent="0.35">
      <c r="A26" s="63" t="s">
        <v>8</v>
      </c>
      <c r="B26" s="20" t="s">
        <v>104</v>
      </c>
      <c r="C26" s="20" t="s">
        <v>97</v>
      </c>
      <c r="D26" s="21">
        <v>28461.54</v>
      </c>
      <c r="E26" s="21"/>
      <c r="F26" s="27">
        <f t="shared" si="12"/>
        <v>-1</v>
      </c>
      <c r="G26" s="21">
        <f>$G$21*E34</f>
        <v>0</v>
      </c>
      <c r="H26" s="21">
        <f t="shared" ref="H26:I26" si="18">G26</f>
        <v>0</v>
      </c>
      <c r="I26" s="21">
        <f t="shared" si="18"/>
        <v>0</v>
      </c>
      <c r="J26" s="7"/>
    </row>
    <row r="27" spans="1:10" x14ac:dyDescent="0.35">
      <c r="A27" s="63" t="s">
        <v>10</v>
      </c>
      <c r="B27" s="20" t="s">
        <v>104</v>
      </c>
      <c r="C27" s="20" t="s">
        <v>98</v>
      </c>
      <c r="D27" s="21">
        <v>252026.04</v>
      </c>
      <c r="E27" s="21">
        <v>339126.66</v>
      </c>
      <c r="F27" s="27">
        <f t="shared" si="12"/>
        <v>0.34560166877994014</v>
      </c>
      <c r="G27" s="21">
        <f>((E27/D27-1)+1)*E27</f>
        <v>456329.39962376736</v>
      </c>
      <c r="H27" s="21">
        <f t="shared" ref="H27:I27" si="19">G27</f>
        <v>456329.39962376736</v>
      </c>
      <c r="I27" s="21">
        <f t="shared" si="19"/>
        <v>456329.39962376736</v>
      </c>
      <c r="J27" s="7"/>
    </row>
    <row r="28" spans="1:10" x14ac:dyDescent="0.35">
      <c r="A28" s="63"/>
      <c r="B28" s="24"/>
      <c r="C28" s="24"/>
      <c r="D28" s="25">
        <f>SUM(D21:D27)</f>
        <v>4116283.6999999997</v>
      </c>
      <c r="E28" s="25">
        <f>SUM(E21:E27)</f>
        <v>4892825.2122160001</v>
      </c>
      <c r="F28" s="26"/>
      <c r="G28" s="25">
        <f>SUM(G21:G27)</f>
        <v>5203020.0740217138</v>
      </c>
      <c r="H28" s="25">
        <f>SUM(H21:H27)</f>
        <v>5203020.0740217138</v>
      </c>
      <c r="I28" s="25">
        <f>SUM(I21:I27)</f>
        <v>5203020.0740217138</v>
      </c>
      <c r="J28" s="64"/>
    </row>
    <row r="29" spans="1:10" x14ac:dyDescent="0.35">
      <c r="A29" s="63"/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35">
      <c r="A30" s="63"/>
      <c r="B30" s="20" t="s">
        <v>104</v>
      </c>
      <c r="C30" s="20" t="s">
        <v>99</v>
      </c>
      <c r="D30" s="27">
        <f t="shared" ref="D30:D35" si="20">D22/$D$21</f>
        <v>0.11325457007518124</v>
      </c>
      <c r="E30" s="27">
        <f t="shared" ref="E30:E35" si="21">E22/$E$21</f>
        <v>0.1090776170562151</v>
      </c>
      <c r="F30" s="27"/>
      <c r="G30" s="27">
        <f t="shared" ref="G30:G35" si="22">G22/$G$21</f>
        <v>0.1090776170562151</v>
      </c>
      <c r="H30" s="27">
        <f t="shared" ref="H30:H35" si="23">H22/$H$21</f>
        <v>0.1090776170562151</v>
      </c>
      <c r="I30" s="27">
        <f t="shared" ref="I30:I35" si="24">I22/$I$21</f>
        <v>0.1090776170562151</v>
      </c>
      <c r="J30" s="7"/>
    </row>
    <row r="31" spans="1:10" x14ac:dyDescent="0.35">
      <c r="A31" s="63"/>
      <c r="B31" s="20" t="s">
        <v>104</v>
      </c>
      <c r="C31" s="20" t="s">
        <v>100</v>
      </c>
      <c r="D31" s="27">
        <f t="shared" si="20"/>
        <v>0.16539778133462302</v>
      </c>
      <c r="E31" s="27">
        <f t="shared" si="21"/>
        <v>0.14460175359260419</v>
      </c>
      <c r="F31" s="19"/>
      <c r="G31" s="27">
        <f t="shared" si="22"/>
        <v>0.14460175359260419</v>
      </c>
      <c r="H31" s="27">
        <f t="shared" si="23"/>
        <v>0.14460175359260419</v>
      </c>
      <c r="I31" s="27">
        <f t="shared" si="24"/>
        <v>0.14460175359260419</v>
      </c>
      <c r="J31" s="7"/>
    </row>
    <row r="32" spans="1:10" x14ac:dyDescent="0.35">
      <c r="A32" s="63"/>
      <c r="B32" s="20" t="s">
        <v>104</v>
      </c>
      <c r="C32" s="20" t="s">
        <v>101</v>
      </c>
      <c r="D32" s="27">
        <f t="shared" si="20"/>
        <v>0.2906355810403895</v>
      </c>
      <c r="E32" s="27">
        <f t="shared" si="21"/>
        <v>0.28628112105521319</v>
      </c>
      <c r="F32" s="19"/>
      <c r="G32" s="27">
        <f t="shared" si="22"/>
        <v>0.28628112105521319</v>
      </c>
      <c r="H32" s="27">
        <f t="shared" si="23"/>
        <v>0.28628112105521319</v>
      </c>
      <c r="I32" s="27">
        <f t="shared" si="24"/>
        <v>0.28628112105521319</v>
      </c>
      <c r="J32" s="7"/>
    </row>
    <row r="33" spans="1:10" x14ac:dyDescent="0.35">
      <c r="A33" s="63"/>
      <c r="B33" s="20" t="s">
        <v>104</v>
      </c>
      <c r="C33" s="20" t="s">
        <v>102</v>
      </c>
      <c r="D33" s="27">
        <f t="shared" si="20"/>
        <v>1.1505129705050908E-2</v>
      </c>
      <c r="E33" s="27">
        <f t="shared" si="21"/>
        <v>4.7153173763775239E-3</v>
      </c>
      <c r="F33" s="19"/>
      <c r="G33" s="27">
        <f t="shared" si="22"/>
        <v>4.7153173763775239E-3</v>
      </c>
      <c r="H33" s="27">
        <f t="shared" si="23"/>
        <v>4.7153173763775239E-3</v>
      </c>
      <c r="I33" s="27">
        <f t="shared" si="24"/>
        <v>4.7153173763775239E-3</v>
      </c>
      <c r="J33" s="7"/>
    </row>
    <row r="34" spans="1:10" x14ac:dyDescent="0.35">
      <c r="A34" s="63"/>
      <c r="B34" s="20" t="s">
        <v>104</v>
      </c>
      <c r="C34" s="20" t="s">
        <v>103</v>
      </c>
      <c r="D34" s="27">
        <f t="shared" si="20"/>
        <v>1.172945682270881E-2</v>
      </c>
      <c r="E34" s="27">
        <f t="shared" si="21"/>
        <v>0</v>
      </c>
      <c r="F34" s="19"/>
      <c r="G34" s="27">
        <f t="shared" si="22"/>
        <v>0</v>
      </c>
      <c r="H34" s="27">
        <f t="shared" si="23"/>
        <v>0</v>
      </c>
      <c r="I34" s="27">
        <f t="shared" si="24"/>
        <v>0</v>
      </c>
      <c r="J34" s="7"/>
    </row>
    <row r="35" spans="1:10" x14ac:dyDescent="0.35">
      <c r="A35" s="63"/>
      <c r="B35" s="20" t="s">
        <v>104</v>
      </c>
      <c r="C35" s="20" t="s">
        <v>98</v>
      </c>
      <c r="D35" s="27">
        <f t="shared" si="20"/>
        <v>0.10386397062064398</v>
      </c>
      <c r="E35" s="27">
        <f t="shared" si="21"/>
        <v>0.11503632528800498</v>
      </c>
      <c r="F35" s="19"/>
      <c r="G35" s="27">
        <f t="shared" si="22"/>
        <v>0.14849945634184919</v>
      </c>
      <c r="H35" s="27">
        <f t="shared" si="23"/>
        <v>0.14849945634184919</v>
      </c>
      <c r="I35" s="27">
        <f t="shared" si="24"/>
        <v>0.14849945634184919</v>
      </c>
      <c r="J35" s="7"/>
    </row>
    <row r="36" spans="1:10" x14ac:dyDescent="0.35">
      <c r="A36" s="63"/>
      <c r="B36" s="63"/>
      <c r="C36" s="63"/>
      <c r="D36" s="63"/>
      <c r="E36" s="63"/>
      <c r="F36" s="63"/>
      <c r="G36" s="63"/>
      <c r="H36" s="63"/>
      <c r="I36" s="63"/>
      <c r="J36" s="63"/>
    </row>
    <row r="37" spans="1:10" x14ac:dyDescent="0.35">
      <c r="A37" s="63"/>
      <c r="B37" s="22" t="s">
        <v>78</v>
      </c>
      <c r="C37" s="22" t="s">
        <v>79</v>
      </c>
      <c r="D37" s="22" t="s">
        <v>80</v>
      </c>
      <c r="E37" s="22" t="s">
        <v>81</v>
      </c>
      <c r="F37" s="22" t="s">
        <v>82</v>
      </c>
      <c r="G37" s="22" t="s">
        <v>83</v>
      </c>
      <c r="H37" s="22" t="s">
        <v>83</v>
      </c>
      <c r="I37" s="22" t="s">
        <v>83</v>
      </c>
      <c r="J37" s="8"/>
    </row>
    <row r="38" spans="1:10" x14ac:dyDescent="0.35">
      <c r="A38" s="63"/>
      <c r="B38" s="23"/>
      <c r="C38" s="23"/>
      <c r="D38" s="22" t="s">
        <v>84</v>
      </c>
      <c r="E38" s="22" t="s">
        <v>85</v>
      </c>
      <c r="F38" s="22" t="s">
        <v>86</v>
      </c>
      <c r="G38" s="22" t="s">
        <v>87</v>
      </c>
      <c r="H38" s="22" t="s">
        <v>88</v>
      </c>
      <c r="I38" s="22" t="s">
        <v>89</v>
      </c>
      <c r="J38" s="8"/>
    </row>
    <row r="39" spans="1:10" x14ac:dyDescent="0.35">
      <c r="A39" s="63" t="s">
        <v>2</v>
      </c>
      <c r="B39" s="20" t="s">
        <v>105</v>
      </c>
      <c r="C39" s="20" t="s">
        <v>91</v>
      </c>
      <c r="D39" s="21">
        <v>6771153.4500000002</v>
      </c>
      <c r="E39" s="21">
        <v>5943317.6527899997</v>
      </c>
      <c r="F39" s="27">
        <f t="shared" ref="F39:F45" si="25">IFERROR(E39/D39-1,0)</f>
        <v>-0.12225919901578963</v>
      </c>
      <c r="G39" s="21">
        <v>6160231.7409960004</v>
      </c>
      <c r="H39" s="21">
        <f t="shared" ref="H39:I39" si="26">G39</f>
        <v>6160231.7409960004</v>
      </c>
      <c r="I39" s="21">
        <f t="shared" si="26"/>
        <v>6160231.7409960004</v>
      </c>
      <c r="J39" s="20" t="s">
        <v>92</v>
      </c>
    </row>
    <row r="40" spans="1:10" x14ac:dyDescent="0.35">
      <c r="A40" s="63" t="s">
        <v>5</v>
      </c>
      <c r="B40" s="20" t="s">
        <v>105</v>
      </c>
      <c r="C40" s="20" t="s">
        <v>93</v>
      </c>
      <c r="D40" s="21">
        <v>692832.21</v>
      </c>
      <c r="E40" s="21">
        <v>769778.04229000001</v>
      </c>
      <c r="F40" s="27">
        <f t="shared" si="25"/>
        <v>0.11105983696976218</v>
      </c>
      <c r="G40" s="21">
        <f>$G$39*E48</f>
        <v>797872.73820213112</v>
      </c>
      <c r="H40" s="21">
        <f t="shared" ref="H40:I40" si="27">G40</f>
        <v>797872.73820213112</v>
      </c>
      <c r="I40" s="21">
        <f t="shared" si="27"/>
        <v>797872.73820213112</v>
      </c>
      <c r="J40" s="7"/>
    </row>
    <row r="41" spans="1:10" x14ac:dyDescent="0.35">
      <c r="A41" s="63" t="s">
        <v>6</v>
      </c>
      <c r="B41" s="20" t="s">
        <v>105</v>
      </c>
      <c r="C41" s="20" t="s">
        <v>94</v>
      </c>
      <c r="D41" s="21">
        <v>828465.33</v>
      </c>
      <c r="E41" s="21">
        <v>869486.305391</v>
      </c>
      <c r="F41" s="27">
        <f t="shared" si="25"/>
        <v>4.9514414068480228E-2</v>
      </c>
      <c r="G41" s="21">
        <f>$G$39*E49</f>
        <v>901220.06760257483</v>
      </c>
      <c r="H41" s="21">
        <f t="shared" ref="H41:I41" si="28">G41</f>
        <v>901220.06760257483</v>
      </c>
      <c r="I41" s="21">
        <f t="shared" si="28"/>
        <v>901220.06760257483</v>
      </c>
      <c r="J41" s="7"/>
    </row>
    <row r="42" spans="1:10" x14ac:dyDescent="0.35">
      <c r="A42" s="63" t="s">
        <v>3</v>
      </c>
      <c r="B42" s="20" t="s">
        <v>105</v>
      </c>
      <c r="C42" s="20" t="s">
        <v>95</v>
      </c>
      <c r="D42" s="21">
        <v>1615805.79</v>
      </c>
      <c r="E42" s="21">
        <v>1740227.3807590001</v>
      </c>
      <c r="F42" s="27">
        <f t="shared" si="25"/>
        <v>7.700281279410448E-2</v>
      </c>
      <c r="G42" s="21">
        <f>$G$39*E50</f>
        <v>1803740.70069593</v>
      </c>
      <c r="H42" s="21">
        <f t="shared" ref="H42:I42" si="29">G42</f>
        <v>1803740.70069593</v>
      </c>
      <c r="I42" s="21">
        <f t="shared" si="29"/>
        <v>1803740.70069593</v>
      </c>
      <c r="J42" s="7"/>
    </row>
    <row r="43" spans="1:10" x14ac:dyDescent="0.35">
      <c r="A43" s="63" t="s">
        <v>7</v>
      </c>
      <c r="B43" s="20" t="s">
        <v>105</v>
      </c>
      <c r="C43" s="20" t="s">
        <v>96</v>
      </c>
      <c r="D43" s="21">
        <v>79418.5</v>
      </c>
      <c r="E43" s="21">
        <v>62227.329855000004</v>
      </c>
      <c r="F43" s="27">
        <f t="shared" si="25"/>
        <v>-0.21646304255305748</v>
      </c>
      <c r="G43" s="21">
        <f>$G$39*E51</f>
        <v>64498.449338350343</v>
      </c>
      <c r="H43" s="21">
        <f t="shared" ref="H43:I43" si="30">G43</f>
        <v>64498.449338350343</v>
      </c>
      <c r="I43" s="21">
        <f t="shared" si="30"/>
        <v>64498.449338350343</v>
      </c>
      <c r="J43" s="7"/>
    </row>
    <row r="44" spans="1:10" x14ac:dyDescent="0.35">
      <c r="A44" s="63" t="s">
        <v>8</v>
      </c>
      <c r="B44" s="20" t="s">
        <v>105</v>
      </c>
      <c r="C44" s="20" t="s">
        <v>97</v>
      </c>
      <c r="D44" s="21">
        <v>1355567.39</v>
      </c>
      <c r="E44" s="21">
        <v>-422082.28</v>
      </c>
      <c r="F44" s="27">
        <f t="shared" si="25"/>
        <v>-1.3113694554130577</v>
      </c>
      <c r="G44" s="65">
        <v>0</v>
      </c>
      <c r="H44" s="21">
        <f t="shared" ref="H44:I44" si="31">G44</f>
        <v>0</v>
      </c>
      <c r="I44" s="21">
        <f t="shared" si="31"/>
        <v>0</v>
      </c>
      <c r="J44" s="7"/>
    </row>
    <row r="45" spans="1:10" x14ac:dyDescent="0.35">
      <c r="A45" s="63" t="s">
        <v>10</v>
      </c>
      <c r="B45" s="20" t="s">
        <v>105</v>
      </c>
      <c r="C45" s="20" t="s">
        <v>98</v>
      </c>
      <c r="D45" s="21">
        <v>45908.04</v>
      </c>
      <c r="E45" s="21">
        <v>351851.21</v>
      </c>
      <c r="F45" s="27">
        <f t="shared" si="25"/>
        <v>6.6642612056624504</v>
      </c>
      <c r="G45" s="65">
        <f>$G$39*E53</f>
        <v>364692.77238317503</v>
      </c>
      <c r="H45" s="21">
        <f t="shared" ref="H45:I45" si="32">G45</f>
        <v>364692.77238317503</v>
      </c>
      <c r="I45" s="21">
        <f t="shared" si="32"/>
        <v>364692.77238317503</v>
      </c>
      <c r="J45" s="7"/>
    </row>
    <row r="46" spans="1:10" x14ac:dyDescent="0.35">
      <c r="A46" s="63"/>
      <c r="B46" s="24"/>
      <c r="C46" s="24"/>
      <c r="D46" s="25">
        <f>SUM(D39:D45)</f>
        <v>11389150.710000001</v>
      </c>
      <c r="E46" s="25">
        <f>SUM(E39:E45)</f>
        <v>9314805.6410850026</v>
      </c>
      <c r="F46" s="26"/>
      <c r="G46" s="25">
        <f>SUM(G39:G45)</f>
        <v>10092256.469218163</v>
      </c>
      <c r="H46" s="25">
        <f>SUM(H39:H45)</f>
        <v>10092256.469218163</v>
      </c>
      <c r="I46" s="25">
        <f>SUM(I39:I45)</f>
        <v>10092256.469218163</v>
      </c>
      <c r="J46" s="64"/>
    </row>
    <row r="47" spans="1:10" x14ac:dyDescent="0.35">
      <c r="A47" s="63"/>
      <c r="B47" s="7"/>
      <c r="C47" s="7"/>
      <c r="D47" s="7"/>
      <c r="E47" s="7"/>
      <c r="F47" s="7"/>
      <c r="G47" s="7"/>
      <c r="H47" s="7"/>
      <c r="I47" s="7"/>
      <c r="J47" s="7"/>
    </row>
    <row r="48" spans="1:10" x14ac:dyDescent="0.35">
      <c r="A48" s="63"/>
      <c r="B48" s="20" t="s">
        <v>105</v>
      </c>
      <c r="C48" s="20" t="s">
        <v>99</v>
      </c>
      <c r="D48" s="27">
        <f t="shared" ref="D48:D53" si="33">D40/$D$39</f>
        <v>0.1023211503204081</v>
      </c>
      <c r="E48" s="27">
        <f t="shared" ref="E48:E53" si="34">E40/$E$39</f>
        <v>0.12951992258543332</v>
      </c>
      <c r="F48" s="27"/>
      <c r="G48" s="27">
        <f t="shared" ref="G48:G53" si="35">G40/$G$39</f>
        <v>0.12951992258543332</v>
      </c>
      <c r="H48" s="27">
        <f t="shared" ref="H48:H53" si="36">H40/$H$39</f>
        <v>0.12951992258543332</v>
      </c>
      <c r="I48" s="27">
        <f t="shared" ref="I48:I53" si="37">I40/$I$39</f>
        <v>0.12951992258543332</v>
      </c>
      <c r="J48" s="7"/>
    </row>
    <row r="49" spans="1:10" x14ac:dyDescent="0.35">
      <c r="A49" s="63"/>
      <c r="B49" s="20" t="s">
        <v>105</v>
      </c>
      <c r="C49" s="20" t="s">
        <v>100</v>
      </c>
      <c r="D49" s="27">
        <f t="shared" si="33"/>
        <v>0.12235217177067519</v>
      </c>
      <c r="E49" s="27">
        <f t="shared" si="34"/>
        <v>0.14629645531108923</v>
      </c>
      <c r="F49" s="19"/>
      <c r="G49" s="27">
        <f t="shared" si="35"/>
        <v>0.14629645531108923</v>
      </c>
      <c r="H49" s="27">
        <f t="shared" si="36"/>
        <v>0.14629645531108923</v>
      </c>
      <c r="I49" s="27">
        <f t="shared" si="37"/>
        <v>0.14629645531108923</v>
      </c>
      <c r="J49" s="7"/>
    </row>
    <row r="50" spans="1:10" x14ac:dyDescent="0.35">
      <c r="A50" s="63"/>
      <c r="B50" s="20" t="s">
        <v>105</v>
      </c>
      <c r="C50" s="20" t="s">
        <v>101</v>
      </c>
      <c r="D50" s="27">
        <f t="shared" si="33"/>
        <v>0.23863080373699108</v>
      </c>
      <c r="E50" s="27">
        <f t="shared" si="34"/>
        <v>0.29280403344116679</v>
      </c>
      <c r="F50" s="19"/>
      <c r="G50" s="27">
        <f t="shared" si="35"/>
        <v>0.29280403344116679</v>
      </c>
      <c r="H50" s="27">
        <f t="shared" si="36"/>
        <v>0.29280403344116679</v>
      </c>
      <c r="I50" s="27">
        <f t="shared" si="37"/>
        <v>0.29280403344116679</v>
      </c>
      <c r="J50" s="7"/>
    </row>
    <row r="51" spans="1:10" x14ac:dyDescent="0.35">
      <c r="A51" s="63"/>
      <c r="B51" s="20" t="s">
        <v>105</v>
      </c>
      <c r="C51" s="20" t="s">
        <v>102</v>
      </c>
      <c r="D51" s="27">
        <f t="shared" si="33"/>
        <v>1.1728947008282614E-2</v>
      </c>
      <c r="E51" s="27">
        <f t="shared" si="34"/>
        <v>1.0470133600513231E-2</v>
      </c>
      <c r="F51" s="19"/>
      <c r="G51" s="27">
        <f t="shared" si="35"/>
        <v>1.0470133600513231E-2</v>
      </c>
      <c r="H51" s="27">
        <f t="shared" si="36"/>
        <v>1.0470133600513231E-2</v>
      </c>
      <c r="I51" s="27">
        <f t="shared" si="37"/>
        <v>1.0470133600513231E-2</v>
      </c>
      <c r="J51" s="7"/>
    </row>
    <row r="52" spans="1:10" x14ac:dyDescent="0.35">
      <c r="A52" s="63"/>
      <c r="B52" s="20" t="s">
        <v>105</v>
      </c>
      <c r="C52" s="20" t="s">
        <v>103</v>
      </c>
      <c r="D52" s="27">
        <f t="shared" si="33"/>
        <v>0.20019741097434438</v>
      </c>
      <c r="E52" s="27">
        <f t="shared" si="34"/>
        <v>-7.1017957420105235E-2</v>
      </c>
      <c r="F52" s="19"/>
      <c r="G52" s="27">
        <f t="shared" si="35"/>
        <v>0</v>
      </c>
      <c r="H52" s="27">
        <f t="shared" si="36"/>
        <v>0</v>
      </c>
      <c r="I52" s="27">
        <f t="shared" si="37"/>
        <v>0</v>
      </c>
      <c r="J52" s="7"/>
    </row>
    <row r="53" spans="1:10" x14ac:dyDescent="0.35">
      <c r="A53" s="63"/>
      <c r="B53" s="20" t="s">
        <v>105</v>
      </c>
      <c r="C53" s="20" t="s">
        <v>98</v>
      </c>
      <c r="D53" s="27">
        <f t="shared" si="33"/>
        <v>6.779943821831419E-3</v>
      </c>
      <c r="E53" s="27">
        <f t="shared" si="34"/>
        <v>5.920114497579123E-2</v>
      </c>
      <c r="F53" s="19"/>
      <c r="G53" s="27">
        <f t="shared" si="35"/>
        <v>5.920114497579123E-2</v>
      </c>
      <c r="H53" s="27">
        <f t="shared" si="36"/>
        <v>5.920114497579123E-2</v>
      </c>
      <c r="I53" s="27">
        <f t="shared" si="37"/>
        <v>5.920114497579123E-2</v>
      </c>
      <c r="J53" s="7"/>
    </row>
    <row r="54" spans="1:10" x14ac:dyDescent="0.35">
      <c r="A54" s="63"/>
      <c r="B54" s="63"/>
      <c r="C54" s="63"/>
      <c r="D54" s="63"/>
      <c r="E54" s="63"/>
      <c r="F54" s="63"/>
      <c r="G54" s="63"/>
      <c r="H54" s="63"/>
      <c r="I54" s="63"/>
      <c r="J54" s="63"/>
    </row>
    <row r="55" spans="1:10" x14ac:dyDescent="0.35">
      <c r="A55" s="63"/>
      <c r="B55" s="22" t="s">
        <v>78</v>
      </c>
      <c r="C55" s="22" t="s">
        <v>79</v>
      </c>
      <c r="D55" s="22" t="s">
        <v>80</v>
      </c>
      <c r="E55" s="22" t="s">
        <v>81</v>
      </c>
      <c r="F55" s="22" t="s">
        <v>82</v>
      </c>
      <c r="G55" s="22" t="s">
        <v>83</v>
      </c>
      <c r="H55" s="22" t="s">
        <v>83</v>
      </c>
      <c r="I55" s="22" t="s">
        <v>83</v>
      </c>
      <c r="J55" s="8"/>
    </row>
    <row r="56" spans="1:10" x14ac:dyDescent="0.35">
      <c r="A56" s="63"/>
      <c r="B56" s="23"/>
      <c r="C56" s="23"/>
      <c r="D56" s="22" t="s">
        <v>84</v>
      </c>
      <c r="E56" s="22" t="s">
        <v>85</v>
      </c>
      <c r="F56" s="22" t="s">
        <v>86</v>
      </c>
      <c r="G56" s="22" t="s">
        <v>87</v>
      </c>
      <c r="H56" s="22" t="s">
        <v>88</v>
      </c>
      <c r="I56" s="22" t="s">
        <v>89</v>
      </c>
      <c r="J56" s="8"/>
    </row>
    <row r="57" spans="1:10" x14ac:dyDescent="0.35">
      <c r="A57" s="63" t="s">
        <v>2</v>
      </c>
      <c r="B57" s="20" t="s">
        <v>106</v>
      </c>
      <c r="C57" s="20" t="s">
        <v>91</v>
      </c>
      <c r="D57" s="21">
        <v>713001.24</v>
      </c>
      <c r="E57" s="21">
        <v>997771.84459999995</v>
      </c>
      <c r="F57" s="27">
        <f t="shared" ref="F57:F63" si="38">IFERROR(E57/D57-1,0)</f>
        <v>0.39939706780874595</v>
      </c>
      <c r="G57" s="21">
        <v>998680.57553599996</v>
      </c>
      <c r="H57" s="21">
        <f t="shared" ref="H57:I57" si="39">G57</f>
        <v>998680.57553599996</v>
      </c>
      <c r="I57" s="21">
        <f t="shared" si="39"/>
        <v>998680.57553599996</v>
      </c>
      <c r="J57" s="20" t="s">
        <v>92</v>
      </c>
    </row>
    <row r="58" spans="1:10" x14ac:dyDescent="0.35">
      <c r="A58" s="63" t="s">
        <v>5</v>
      </c>
      <c r="B58" s="20" t="s">
        <v>106</v>
      </c>
      <c r="C58" s="20" t="s">
        <v>93</v>
      </c>
      <c r="D58" s="21">
        <v>43619.81</v>
      </c>
      <c r="E58" s="21">
        <v>51187.428044</v>
      </c>
      <c r="F58" s="27">
        <f t="shared" si="38"/>
        <v>0.17349039447902226</v>
      </c>
      <c r="G58" s="21">
        <f t="shared" ref="G58:G63" si="40">$G$57*E66</f>
        <v>51234.047518832449</v>
      </c>
      <c r="H58" s="21">
        <f t="shared" ref="H58:I58" si="41">G58</f>
        <v>51234.047518832449</v>
      </c>
      <c r="I58" s="21">
        <f t="shared" si="41"/>
        <v>51234.047518832449</v>
      </c>
      <c r="J58" s="7"/>
    </row>
    <row r="59" spans="1:10" x14ac:dyDescent="0.35">
      <c r="A59" s="63" t="s">
        <v>6</v>
      </c>
      <c r="B59" s="20" t="s">
        <v>106</v>
      </c>
      <c r="C59" s="20" t="s">
        <v>94</v>
      </c>
      <c r="D59" s="21">
        <v>54935.64</v>
      </c>
      <c r="E59" s="21">
        <v>65080.753452999998</v>
      </c>
      <c r="F59" s="27">
        <f t="shared" si="38"/>
        <v>0.18467270888261234</v>
      </c>
      <c r="G59" s="21">
        <f t="shared" si="40"/>
        <v>65140.026416374349</v>
      </c>
      <c r="H59" s="21">
        <f t="shared" ref="H59:I59" si="42">G59</f>
        <v>65140.026416374349</v>
      </c>
      <c r="I59" s="21">
        <f t="shared" si="42"/>
        <v>65140.026416374349</v>
      </c>
      <c r="J59" s="7"/>
    </row>
    <row r="60" spans="1:10" x14ac:dyDescent="0.35">
      <c r="A60" s="63" t="s">
        <v>3</v>
      </c>
      <c r="B60" s="20" t="s">
        <v>106</v>
      </c>
      <c r="C60" s="20" t="s">
        <v>95</v>
      </c>
      <c r="D60" s="21">
        <v>633968.67000000004</v>
      </c>
      <c r="E60" s="21">
        <v>917880.07316000003</v>
      </c>
      <c r="F60" s="27">
        <f t="shared" si="38"/>
        <v>0.44783191440674819</v>
      </c>
      <c r="G60" s="21">
        <f t="shared" si="40"/>
        <v>918716.04184616078</v>
      </c>
      <c r="H60" s="21">
        <f t="shared" ref="H60:I60" si="43">G60</f>
        <v>918716.04184616078</v>
      </c>
      <c r="I60" s="21">
        <f t="shared" si="43"/>
        <v>918716.04184616078</v>
      </c>
      <c r="J60" s="7"/>
    </row>
    <row r="61" spans="1:10" x14ac:dyDescent="0.35">
      <c r="A61" s="63" t="s">
        <v>7</v>
      </c>
      <c r="B61" s="20" t="s">
        <v>106</v>
      </c>
      <c r="C61" s="20" t="s">
        <v>96</v>
      </c>
      <c r="D61" s="21">
        <v>0</v>
      </c>
      <c r="E61" s="21">
        <v>0</v>
      </c>
      <c r="F61" s="27">
        <f t="shared" si="38"/>
        <v>0</v>
      </c>
      <c r="G61" s="21">
        <f t="shared" si="40"/>
        <v>0</v>
      </c>
      <c r="H61" s="21">
        <f t="shared" ref="H61:I61" si="44">G61</f>
        <v>0</v>
      </c>
      <c r="I61" s="21">
        <f t="shared" si="44"/>
        <v>0</v>
      </c>
      <c r="J61" s="7"/>
    </row>
    <row r="62" spans="1:10" x14ac:dyDescent="0.35">
      <c r="A62" s="63" t="s">
        <v>8</v>
      </c>
      <c r="B62" s="20" t="s">
        <v>106</v>
      </c>
      <c r="C62" s="20" t="s">
        <v>97</v>
      </c>
      <c r="D62" s="21">
        <v>0</v>
      </c>
      <c r="E62" s="21">
        <v>0</v>
      </c>
      <c r="F62" s="27">
        <f t="shared" si="38"/>
        <v>0</v>
      </c>
      <c r="G62" s="21">
        <f t="shared" si="40"/>
        <v>0</v>
      </c>
      <c r="H62" s="21">
        <f t="shared" ref="H62:I62" si="45">G62</f>
        <v>0</v>
      </c>
      <c r="I62" s="21">
        <f t="shared" si="45"/>
        <v>0</v>
      </c>
      <c r="J62" s="7"/>
    </row>
    <row r="63" spans="1:10" x14ac:dyDescent="0.35">
      <c r="A63" s="63" t="s">
        <v>10</v>
      </c>
      <c r="B63" s="20" t="s">
        <v>106</v>
      </c>
      <c r="C63" s="20" t="s">
        <v>98</v>
      </c>
      <c r="D63" s="21">
        <v>1270329.51</v>
      </c>
      <c r="E63" s="21">
        <v>1707875.6</v>
      </c>
      <c r="F63" s="27">
        <f t="shared" si="38"/>
        <v>0.34443511431927609</v>
      </c>
      <c r="G63" s="65">
        <f t="shared" si="40"/>
        <v>1709431.0652107685</v>
      </c>
      <c r="H63" s="21">
        <f t="shared" ref="H63:I63" si="46">G63</f>
        <v>1709431.0652107685</v>
      </c>
      <c r="I63" s="21">
        <f t="shared" si="46"/>
        <v>1709431.0652107685</v>
      </c>
      <c r="J63" s="7"/>
    </row>
    <row r="64" spans="1:10" x14ac:dyDescent="0.35">
      <c r="A64" s="63"/>
      <c r="B64" s="24"/>
      <c r="C64" s="24"/>
      <c r="D64" s="25">
        <f>SUM(D57:D63)</f>
        <v>2715854.87</v>
      </c>
      <c r="E64" s="25">
        <f>SUM(E57:E63)</f>
        <v>3739795.6992569999</v>
      </c>
      <c r="F64" s="26"/>
      <c r="G64" s="25">
        <f>SUM(G57:G63)</f>
        <v>3743201.7565281363</v>
      </c>
      <c r="H64" s="25">
        <f>SUM(H57:H63)</f>
        <v>3743201.7565281363</v>
      </c>
      <c r="I64" s="25">
        <f>SUM(I57:I63)</f>
        <v>3743201.7565281363</v>
      </c>
      <c r="J64" s="64"/>
    </row>
    <row r="65" spans="1:10" x14ac:dyDescent="0.35">
      <c r="A65" s="63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35">
      <c r="A66" s="63"/>
      <c r="B66" s="20" t="s">
        <v>106</v>
      </c>
      <c r="C66" s="20" t="s">
        <v>99</v>
      </c>
      <c r="D66" s="27">
        <f t="shared" ref="D66:D71" si="47">D58/$D$57</f>
        <v>6.1177747741364377E-2</v>
      </c>
      <c r="E66" s="27">
        <f t="shared" ref="E66:E71" si="48">E58/$E$57</f>
        <v>5.1301736284732204E-2</v>
      </c>
      <c r="F66" s="27"/>
      <c r="G66" s="27">
        <f t="shared" ref="G66:G71" si="49">G58/$G$57</f>
        <v>5.1301736284732204E-2</v>
      </c>
      <c r="H66" s="27">
        <f t="shared" ref="H66:H71" si="50">H58/$H$57</f>
        <v>5.1301736284732204E-2</v>
      </c>
      <c r="I66" s="27">
        <f t="shared" ref="I66:I71" si="51">I58/$I$57</f>
        <v>5.1301736284732204E-2</v>
      </c>
      <c r="J66" s="7"/>
    </row>
    <row r="67" spans="1:10" x14ac:dyDescent="0.35">
      <c r="A67" s="63"/>
      <c r="B67" s="20" t="s">
        <v>106</v>
      </c>
      <c r="C67" s="20" t="s">
        <v>100</v>
      </c>
      <c r="D67" s="27">
        <f t="shared" si="47"/>
        <v>7.7048449452906981E-2</v>
      </c>
      <c r="E67" s="27">
        <f t="shared" si="48"/>
        <v>6.5226087311664363E-2</v>
      </c>
      <c r="F67" s="19"/>
      <c r="G67" s="27">
        <f t="shared" si="49"/>
        <v>6.5226087311664363E-2</v>
      </c>
      <c r="H67" s="27">
        <f t="shared" si="50"/>
        <v>6.5226087311664363E-2</v>
      </c>
      <c r="I67" s="27">
        <f t="shared" si="51"/>
        <v>6.5226087311664363E-2</v>
      </c>
      <c r="J67" s="7"/>
    </row>
    <row r="68" spans="1:10" x14ac:dyDescent="0.35">
      <c r="A68" s="63"/>
      <c r="B68" s="20" t="s">
        <v>106</v>
      </c>
      <c r="C68" s="20" t="s">
        <v>101</v>
      </c>
      <c r="D68" s="27">
        <f t="shared" si="47"/>
        <v>0.88915507355919898</v>
      </c>
      <c r="E68" s="27">
        <f t="shared" si="48"/>
        <v>0.91992981975550936</v>
      </c>
      <c r="F68" s="19"/>
      <c r="G68" s="27">
        <f t="shared" si="49"/>
        <v>0.91992981975550936</v>
      </c>
      <c r="H68" s="27">
        <f t="shared" si="50"/>
        <v>0.91992981975550936</v>
      </c>
      <c r="I68" s="27">
        <f t="shared" si="51"/>
        <v>0.91992981975550936</v>
      </c>
      <c r="J68" s="7"/>
    </row>
    <row r="69" spans="1:10" x14ac:dyDescent="0.35">
      <c r="A69" s="63"/>
      <c r="B69" s="20" t="s">
        <v>106</v>
      </c>
      <c r="C69" s="20" t="s">
        <v>102</v>
      </c>
      <c r="D69" s="27">
        <f t="shared" si="47"/>
        <v>0</v>
      </c>
      <c r="E69" s="27">
        <f t="shared" si="48"/>
        <v>0</v>
      </c>
      <c r="F69" s="19"/>
      <c r="G69" s="27">
        <f t="shared" si="49"/>
        <v>0</v>
      </c>
      <c r="H69" s="27">
        <f t="shared" si="50"/>
        <v>0</v>
      </c>
      <c r="I69" s="27">
        <f t="shared" si="51"/>
        <v>0</v>
      </c>
      <c r="J69" s="7"/>
    </row>
    <row r="70" spans="1:10" x14ac:dyDescent="0.35">
      <c r="A70" s="63"/>
      <c r="B70" s="20" t="s">
        <v>106</v>
      </c>
      <c r="C70" s="20" t="s">
        <v>103</v>
      </c>
      <c r="D70" s="27">
        <f t="shared" si="47"/>
        <v>0</v>
      </c>
      <c r="E70" s="27">
        <f t="shared" si="48"/>
        <v>0</v>
      </c>
      <c r="F70" s="19"/>
      <c r="G70" s="27">
        <f t="shared" si="49"/>
        <v>0</v>
      </c>
      <c r="H70" s="27">
        <f t="shared" si="50"/>
        <v>0</v>
      </c>
      <c r="I70" s="27">
        <f t="shared" si="51"/>
        <v>0</v>
      </c>
      <c r="J70" s="7"/>
    </row>
    <row r="71" spans="1:10" x14ac:dyDescent="0.35">
      <c r="A71" s="63"/>
      <c r="B71" s="20" t="s">
        <v>106</v>
      </c>
      <c r="C71" s="20" t="s">
        <v>98</v>
      </c>
      <c r="D71" s="27">
        <f t="shared" si="47"/>
        <v>1.7816652184223412</v>
      </c>
      <c r="E71" s="27">
        <f t="shared" si="48"/>
        <v>1.711689510225332</v>
      </c>
      <c r="F71" s="19"/>
      <c r="G71" s="27">
        <f t="shared" si="49"/>
        <v>1.711689510225332</v>
      </c>
      <c r="H71" s="27">
        <f t="shared" si="50"/>
        <v>1.711689510225332</v>
      </c>
      <c r="I71" s="27">
        <f t="shared" si="51"/>
        <v>1.711689510225332</v>
      </c>
      <c r="J71" s="7"/>
    </row>
  </sheetData>
  <sheetProtection algorithmName="SHA-512" hashValue="mvpjy7DPa8Dcm1xUAYzlijSPLHTUuo5sj2ohh7S5Z5piPGBlp5hryUAirHXfuS5i+6mVxN263A11lYQVXR/POA==" saltValue="BQHffsIzEYFRezj6QjRUxA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7"/>
  <sheetViews>
    <sheetView zoomScale="70" workbookViewId="0">
      <selection activeCell="E23" sqref="E23:G23"/>
    </sheetView>
  </sheetViews>
  <sheetFormatPr defaultRowHeight="14.5" x14ac:dyDescent="0.35"/>
  <cols>
    <col min="2" max="2" width="16.36328125" bestFit="1" customWidth="1"/>
    <col min="3" max="3" width="62.453125" bestFit="1" customWidth="1"/>
    <col min="4" max="4" width="13.90625" bestFit="1" customWidth="1"/>
    <col min="5" max="5" width="35.7265625" bestFit="1" customWidth="1"/>
    <col min="6" max="6" width="17" bestFit="1" customWidth="1"/>
    <col min="7" max="7" width="25.08984375" bestFit="1" customWidth="1"/>
    <col min="8" max="8" width="14.26953125" bestFit="1" customWidth="1"/>
    <col min="9" max="9" width="25.08984375" bestFit="1" customWidth="1"/>
    <col min="10" max="10" width="14.26953125" bestFit="1" customWidth="1"/>
    <col min="11" max="11" width="25.08984375" bestFit="1" customWidth="1"/>
    <col min="12" max="12" width="14.26953125" bestFit="1" customWidth="1"/>
    <col min="14" max="14" width="26.453125" bestFit="1" customWidth="1"/>
  </cols>
  <sheetData>
    <row r="1" spans="1:14" x14ac:dyDescent="0.35">
      <c r="A1" s="63"/>
      <c r="B1" s="22" t="s">
        <v>78</v>
      </c>
      <c r="C1" s="22" t="s">
        <v>79</v>
      </c>
      <c r="D1" s="22" t="s">
        <v>80</v>
      </c>
      <c r="E1" s="22" t="s">
        <v>81</v>
      </c>
      <c r="F1" s="22" t="s">
        <v>82</v>
      </c>
      <c r="G1" s="22" t="s">
        <v>107</v>
      </c>
      <c r="H1" s="22" t="s">
        <v>83</v>
      </c>
      <c r="I1" s="22" t="s">
        <v>107</v>
      </c>
      <c r="J1" s="22" t="s">
        <v>83</v>
      </c>
      <c r="K1" s="22" t="s">
        <v>107</v>
      </c>
      <c r="L1" s="22" t="s">
        <v>83</v>
      </c>
      <c r="M1" s="63"/>
      <c r="N1" s="63"/>
    </row>
    <row r="2" spans="1:14" x14ac:dyDescent="0.35">
      <c r="A2" s="63"/>
      <c r="B2" s="23"/>
      <c r="C2" s="23"/>
      <c r="D2" s="22" t="s">
        <v>84</v>
      </c>
      <c r="E2" s="22" t="s">
        <v>85</v>
      </c>
      <c r="F2" s="22" t="s">
        <v>86</v>
      </c>
      <c r="G2" s="22"/>
      <c r="H2" s="22" t="s">
        <v>87</v>
      </c>
      <c r="I2" s="22"/>
      <c r="J2" s="22" t="s">
        <v>88</v>
      </c>
      <c r="K2" s="22"/>
      <c r="L2" s="22" t="s">
        <v>89</v>
      </c>
      <c r="M2" s="63"/>
      <c r="N2" s="63"/>
    </row>
    <row r="3" spans="1:14" x14ac:dyDescent="0.35">
      <c r="A3" s="63" t="s">
        <v>12</v>
      </c>
      <c r="B3" s="20" t="s">
        <v>90</v>
      </c>
      <c r="C3" s="20" t="s">
        <v>108</v>
      </c>
      <c r="D3" s="21">
        <v>1015364.54</v>
      </c>
      <c r="E3" s="21">
        <v>1689705.429977</v>
      </c>
      <c r="F3" s="27">
        <f t="shared" ref="F3:F26" si="0">IF(D3=0,0,E3/D3-1)</f>
        <v>0.66413673455348365</v>
      </c>
      <c r="G3" s="28">
        <v>0</v>
      </c>
      <c r="H3" s="21">
        <f t="shared" ref="H3:H25" si="1">IF(ISBLANK($G3),($E3*(1+$F3)),($E3*(1+$G3)))</f>
        <v>1689705.429977</v>
      </c>
      <c r="I3" s="28">
        <v>0</v>
      </c>
      <c r="J3" s="21">
        <f t="shared" ref="J3:J25" si="2">IF(ISBLANK($I3),($H3*(1+$F3)),($H3*(1+$I3)))</f>
        <v>1689705.429977</v>
      </c>
      <c r="K3" s="28">
        <v>0</v>
      </c>
      <c r="L3" s="21">
        <f t="shared" ref="L3:L25" si="3">IF(ISBLANK($K3),($J3*(1+$F3)),($J3*(1+$K3)))</f>
        <v>1689705.429977</v>
      </c>
      <c r="M3" s="63"/>
      <c r="N3" s="63"/>
    </row>
    <row r="4" spans="1:14" x14ac:dyDescent="0.35">
      <c r="A4" s="63" t="s">
        <v>13</v>
      </c>
      <c r="B4" s="20" t="s">
        <v>90</v>
      </c>
      <c r="C4" s="20" t="s">
        <v>109</v>
      </c>
      <c r="D4" s="21">
        <v>59846.19</v>
      </c>
      <c r="E4" s="21">
        <v>100001.27999700001</v>
      </c>
      <c r="F4" s="27">
        <f t="shared" si="0"/>
        <v>0.67097153548120603</v>
      </c>
      <c r="G4" s="28">
        <v>0</v>
      </c>
      <c r="H4" s="21">
        <f t="shared" si="1"/>
        <v>100001.27999700001</v>
      </c>
      <c r="I4" s="28">
        <v>0</v>
      </c>
      <c r="J4" s="21">
        <f t="shared" si="2"/>
        <v>100001.27999700001</v>
      </c>
      <c r="K4" s="28">
        <v>0</v>
      </c>
      <c r="L4" s="21">
        <f t="shared" si="3"/>
        <v>100001.27999700001</v>
      </c>
      <c r="M4" s="63"/>
      <c r="N4" s="63"/>
    </row>
    <row r="5" spans="1:14" x14ac:dyDescent="0.35">
      <c r="A5" s="63" t="s">
        <v>14</v>
      </c>
      <c r="B5" s="20" t="s">
        <v>90</v>
      </c>
      <c r="C5" s="20" t="s">
        <v>110</v>
      </c>
      <c r="D5" s="21">
        <v>22652.42</v>
      </c>
      <c r="E5" s="21">
        <v>1596.31</v>
      </c>
      <c r="F5" s="27">
        <f t="shared" si="0"/>
        <v>-0.92953026652340021</v>
      </c>
      <c r="G5" s="28">
        <v>0</v>
      </c>
      <c r="H5" s="21">
        <f t="shared" si="1"/>
        <v>1596.31</v>
      </c>
      <c r="I5" s="28">
        <v>0</v>
      </c>
      <c r="J5" s="21">
        <f t="shared" si="2"/>
        <v>1596.31</v>
      </c>
      <c r="K5" s="28">
        <v>0</v>
      </c>
      <c r="L5" s="21">
        <f t="shared" si="3"/>
        <v>1596.31</v>
      </c>
      <c r="M5" s="63"/>
      <c r="N5" s="63"/>
    </row>
    <row r="6" spans="1:14" x14ac:dyDescent="0.35">
      <c r="A6" s="63" t="s">
        <v>15</v>
      </c>
      <c r="B6" s="20" t="s">
        <v>90</v>
      </c>
      <c r="C6" s="20" t="s">
        <v>111</v>
      </c>
      <c r="D6" s="21">
        <v>43432.56</v>
      </c>
      <c r="E6" s="21">
        <v>575609.31000000006</v>
      </c>
      <c r="F6" s="27">
        <f t="shared" si="0"/>
        <v>12.25294456509126</v>
      </c>
      <c r="G6" s="28">
        <v>0</v>
      </c>
      <c r="H6" s="21">
        <f t="shared" si="1"/>
        <v>575609.31000000006</v>
      </c>
      <c r="I6" s="28">
        <v>0</v>
      </c>
      <c r="J6" s="21">
        <f t="shared" si="2"/>
        <v>575609.31000000006</v>
      </c>
      <c r="K6" s="28">
        <v>0</v>
      </c>
      <c r="L6" s="21">
        <f t="shared" si="3"/>
        <v>575609.31000000006</v>
      </c>
      <c r="M6" s="63"/>
      <c r="N6" s="63"/>
    </row>
    <row r="7" spans="1:14" x14ac:dyDescent="0.35">
      <c r="A7" s="63" t="s">
        <v>16</v>
      </c>
      <c r="B7" s="20" t="s">
        <v>90</v>
      </c>
      <c r="C7" s="20" t="s">
        <v>112</v>
      </c>
      <c r="D7" s="21">
        <v>4433.22</v>
      </c>
      <c r="E7" s="21">
        <v>0</v>
      </c>
      <c r="F7" s="27">
        <f t="shared" si="0"/>
        <v>-1</v>
      </c>
      <c r="G7" s="28">
        <v>0</v>
      </c>
      <c r="H7" s="21">
        <f t="shared" si="1"/>
        <v>0</v>
      </c>
      <c r="I7" s="28">
        <v>0</v>
      </c>
      <c r="J7" s="21">
        <f t="shared" si="2"/>
        <v>0</v>
      </c>
      <c r="K7" s="28">
        <v>0</v>
      </c>
      <c r="L7" s="21">
        <f t="shared" si="3"/>
        <v>0</v>
      </c>
      <c r="M7" s="63"/>
      <c r="N7" s="63"/>
    </row>
    <row r="8" spans="1:14" x14ac:dyDescent="0.35">
      <c r="A8" s="63" t="s">
        <v>17</v>
      </c>
      <c r="B8" s="20" t="s">
        <v>90</v>
      </c>
      <c r="C8" s="20" t="s">
        <v>113</v>
      </c>
      <c r="D8" s="21">
        <v>1194873.44</v>
      </c>
      <c r="E8" s="21">
        <v>1892769.3300300001</v>
      </c>
      <c r="F8" s="27">
        <f t="shared" si="0"/>
        <v>0.58407515529845577</v>
      </c>
      <c r="G8" s="28">
        <v>0</v>
      </c>
      <c r="H8" s="21">
        <f t="shared" si="1"/>
        <v>1892769.3300300001</v>
      </c>
      <c r="I8" s="28">
        <v>0</v>
      </c>
      <c r="J8" s="21">
        <f t="shared" si="2"/>
        <v>1892769.3300300001</v>
      </c>
      <c r="K8" s="28">
        <v>0</v>
      </c>
      <c r="L8" s="21">
        <f t="shared" si="3"/>
        <v>1892769.3300300001</v>
      </c>
      <c r="M8" s="63"/>
      <c r="N8" s="63"/>
    </row>
    <row r="9" spans="1:14" x14ac:dyDescent="0.35">
      <c r="A9" s="63" t="s">
        <v>18</v>
      </c>
      <c r="B9" s="20" t="s">
        <v>90</v>
      </c>
      <c r="C9" s="20" t="s">
        <v>114</v>
      </c>
      <c r="D9" s="21">
        <v>64984.69</v>
      </c>
      <c r="E9" s="21">
        <v>167102.53999399999</v>
      </c>
      <c r="F9" s="27">
        <f t="shared" si="0"/>
        <v>1.5714139744915299</v>
      </c>
      <c r="G9" s="28">
        <v>0</v>
      </c>
      <c r="H9" s="21">
        <f t="shared" si="1"/>
        <v>167102.53999399999</v>
      </c>
      <c r="I9" s="28">
        <v>0</v>
      </c>
      <c r="J9" s="21">
        <f t="shared" si="2"/>
        <v>167102.53999399999</v>
      </c>
      <c r="K9" s="28">
        <v>0</v>
      </c>
      <c r="L9" s="21">
        <f t="shared" si="3"/>
        <v>167102.53999399999</v>
      </c>
      <c r="M9" s="63"/>
      <c r="N9" s="63"/>
    </row>
    <row r="10" spans="1:14" x14ac:dyDescent="0.35">
      <c r="A10" s="63" t="s">
        <v>19</v>
      </c>
      <c r="B10" s="20" t="s">
        <v>90</v>
      </c>
      <c r="C10" s="20" t="s">
        <v>115</v>
      </c>
      <c r="D10" s="21">
        <v>0</v>
      </c>
      <c r="E10" s="21">
        <v>0</v>
      </c>
      <c r="F10" s="27">
        <f t="shared" si="0"/>
        <v>0</v>
      </c>
      <c r="G10" s="28">
        <v>0</v>
      </c>
      <c r="H10" s="21">
        <f t="shared" si="1"/>
        <v>0</v>
      </c>
      <c r="I10" s="28">
        <v>0</v>
      </c>
      <c r="J10" s="21">
        <f t="shared" si="2"/>
        <v>0</v>
      </c>
      <c r="K10" s="28">
        <v>0</v>
      </c>
      <c r="L10" s="21">
        <f t="shared" si="3"/>
        <v>0</v>
      </c>
      <c r="M10" s="63"/>
      <c r="N10" s="63"/>
    </row>
    <row r="11" spans="1:14" x14ac:dyDescent="0.35">
      <c r="A11" s="63" t="s">
        <v>20</v>
      </c>
      <c r="B11" s="20" t="s">
        <v>90</v>
      </c>
      <c r="C11" s="20" t="s">
        <v>116</v>
      </c>
      <c r="D11" s="21">
        <v>0</v>
      </c>
      <c r="E11" s="21">
        <v>0</v>
      </c>
      <c r="F11" s="27">
        <f t="shared" si="0"/>
        <v>0</v>
      </c>
      <c r="G11" s="28">
        <v>0</v>
      </c>
      <c r="H11" s="21">
        <f t="shared" si="1"/>
        <v>0</v>
      </c>
      <c r="I11" s="28">
        <v>0</v>
      </c>
      <c r="J11" s="21">
        <f t="shared" si="2"/>
        <v>0</v>
      </c>
      <c r="K11" s="28">
        <v>0</v>
      </c>
      <c r="L11" s="21">
        <f t="shared" si="3"/>
        <v>0</v>
      </c>
      <c r="M11" s="63"/>
      <c r="N11" s="63"/>
    </row>
    <row r="12" spans="1:14" x14ac:dyDescent="0.35">
      <c r="A12" s="63" t="s">
        <v>21</v>
      </c>
      <c r="B12" s="20" t="s">
        <v>90</v>
      </c>
      <c r="C12" s="20" t="s">
        <v>117</v>
      </c>
      <c r="D12" s="21">
        <v>157606.98000000001</v>
      </c>
      <c r="E12" s="21">
        <v>63989.86</v>
      </c>
      <c r="F12" s="27">
        <f t="shared" si="0"/>
        <v>-0.59399095141598424</v>
      </c>
      <c r="G12" s="28">
        <v>0</v>
      </c>
      <c r="H12" s="21">
        <f t="shared" si="1"/>
        <v>63989.86</v>
      </c>
      <c r="I12" s="28">
        <v>0</v>
      </c>
      <c r="J12" s="21">
        <f t="shared" si="2"/>
        <v>63989.86</v>
      </c>
      <c r="K12" s="28">
        <v>0</v>
      </c>
      <c r="L12" s="21">
        <f t="shared" si="3"/>
        <v>63989.86</v>
      </c>
      <c r="M12" s="63"/>
      <c r="N12" s="63"/>
    </row>
    <row r="13" spans="1:14" x14ac:dyDescent="0.35">
      <c r="A13" s="63" t="s">
        <v>22</v>
      </c>
      <c r="B13" s="20" t="s">
        <v>90</v>
      </c>
      <c r="C13" s="20" t="s">
        <v>118</v>
      </c>
      <c r="D13" s="21">
        <v>139132.16</v>
      </c>
      <c r="E13" s="21">
        <v>164413.163</v>
      </c>
      <c r="F13" s="27">
        <f t="shared" si="0"/>
        <v>0.18170495592104663</v>
      </c>
      <c r="G13" s="28">
        <v>0</v>
      </c>
      <c r="H13" s="21">
        <f t="shared" si="1"/>
        <v>164413.163</v>
      </c>
      <c r="I13" s="28">
        <v>0</v>
      </c>
      <c r="J13" s="21">
        <f t="shared" si="2"/>
        <v>164413.163</v>
      </c>
      <c r="K13" s="28">
        <v>0</v>
      </c>
      <c r="L13" s="21">
        <f t="shared" si="3"/>
        <v>164413.163</v>
      </c>
      <c r="M13" s="63"/>
      <c r="N13" s="63"/>
    </row>
    <row r="14" spans="1:14" x14ac:dyDescent="0.35">
      <c r="A14" s="63" t="s">
        <v>23</v>
      </c>
      <c r="B14" s="20" t="s">
        <v>90</v>
      </c>
      <c r="C14" s="20" t="s">
        <v>119</v>
      </c>
      <c r="D14" s="21">
        <v>0</v>
      </c>
      <c r="E14" s="21">
        <v>0</v>
      </c>
      <c r="F14" s="27">
        <f t="shared" si="0"/>
        <v>0</v>
      </c>
      <c r="G14" s="28">
        <v>0</v>
      </c>
      <c r="H14" s="21">
        <f t="shared" si="1"/>
        <v>0</v>
      </c>
      <c r="I14" s="28">
        <v>0</v>
      </c>
      <c r="J14" s="21">
        <f t="shared" si="2"/>
        <v>0</v>
      </c>
      <c r="K14" s="28">
        <v>0</v>
      </c>
      <c r="L14" s="21">
        <f t="shared" si="3"/>
        <v>0</v>
      </c>
      <c r="M14" s="63"/>
      <c r="N14" s="63"/>
    </row>
    <row r="15" spans="1:14" x14ac:dyDescent="0.35">
      <c r="A15" s="63" t="s">
        <v>24</v>
      </c>
      <c r="B15" s="20" t="s">
        <v>90</v>
      </c>
      <c r="C15" s="20" t="s">
        <v>120</v>
      </c>
      <c r="D15" s="21">
        <v>0</v>
      </c>
      <c r="E15" s="21">
        <v>0</v>
      </c>
      <c r="F15" s="27">
        <f t="shared" si="0"/>
        <v>0</v>
      </c>
      <c r="G15" s="28">
        <v>0</v>
      </c>
      <c r="H15" s="21">
        <f t="shared" si="1"/>
        <v>0</v>
      </c>
      <c r="I15" s="28">
        <v>0</v>
      </c>
      <c r="J15" s="21">
        <f t="shared" si="2"/>
        <v>0</v>
      </c>
      <c r="K15" s="28">
        <v>0</v>
      </c>
      <c r="L15" s="21">
        <f t="shared" si="3"/>
        <v>0</v>
      </c>
      <c r="M15" s="63"/>
      <c r="N15" s="63"/>
    </row>
    <row r="16" spans="1:14" x14ac:dyDescent="0.35">
      <c r="A16" s="63" t="s">
        <v>25</v>
      </c>
      <c r="B16" s="20" t="s">
        <v>90</v>
      </c>
      <c r="C16" s="20" t="s">
        <v>121</v>
      </c>
      <c r="D16" s="21">
        <v>469488.42</v>
      </c>
      <c r="E16" s="21">
        <v>611438.72</v>
      </c>
      <c r="F16" s="27">
        <f t="shared" si="0"/>
        <v>0.30235101432320732</v>
      </c>
      <c r="G16" s="28">
        <v>0</v>
      </c>
      <c r="H16" s="21">
        <f t="shared" si="1"/>
        <v>611438.72</v>
      </c>
      <c r="I16" s="28">
        <v>0</v>
      </c>
      <c r="J16" s="21">
        <f t="shared" si="2"/>
        <v>611438.72</v>
      </c>
      <c r="K16" s="28">
        <v>0</v>
      </c>
      <c r="L16" s="21">
        <f t="shared" si="3"/>
        <v>611438.72</v>
      </c>
      <c r="M16" s="63"/>
      <c r="N16" s="63"/>
    </row>
    <row r="17" spans="1:14" x14ac:dyDescent="0.35">
      <c r="A17" s="63" t="s">
        <v>26</v>
      </c>
      <c r="B17" s="20" t="s">
        <v>90</v>
      </c>
      <c r="C17" s="20" t="s">
        <v>122</v>
      </c>
      <c r="D17" s="21">
        <v>0</v>
      </c>
      <c r="E17" s="21">
        <v>0</v>
      </c>
      <c r="F17" s="27">
        <f t="shared" si="0"/>
        <v>0</v>
      </c>
      <c r="G17" s="28">
        <v>0</v>
      </c>
      <c r="H17" s="21">
        <f t="shared" si="1"/>
        <v>0</v>
      </c>
      <c r="I17" s="28">
        <v>0</v>
      </c>
      <c r="J17" s="21">
        <f t="shared" si="2"/>
        <v>0</v>
      </c>
      <c r="K17" s="28">
        <v>0</v>
      </c>
      <c r="L17" s="21">
        <f t="shared" si="3"/>
        <v>0</v>
      </c>
      <c r="M17" s="63"/>
      <c r="N17" s="63"/>
    </row>
    <row r="18" spans="1:14" x14ac:dyDescent="0.35">
      <c r="A18" s="63" t="s">
        <v>27</v>
      </c>
      <c r="B18" s="20" t="s">
        <v>90</v>
      </c>
      <c r="C18" s="20" t="s">
        <v>123</v>
      </c>
      <c r="D18" s="21">
        <v>5662.4</v>
      </c>
      <c r="E18" s="21">
        <v>3.55</v>
      </c>
      <c r="F18" s="27">
        <f t="shared" si="0"/>
        <v>-0.99937305736083637</v>
      </c>
      <c r="G18" s="28">
        <v>0</v>
      </c>
      <c r="H18" s="21">
        <f t="shared" si="1"/>
        <v>3.55</v>
      </c>
      <c r="I18" s="28">
        <v>0</v>
      </c>
      <c r="J18" s="21">
        <f t="shared" si="2"/>
        <v>3.55</v>
      </c>
      <c r="K18" s="28">
        <v>0</v>
      </c>
      <c r="L18" s="21">
        <f t="shared" si="3"/>
        <v>3.55</v>
      </c>
      <c r="M18" s="63"/>
      <c r="N18" s="63"/>
    </row>
    <row r="19" spans="1:14" x14ac:dyDescent="0.35">
      <c r="A19" s="63" t="s">
        <v>28</v>
      </c>
      <c r="B19" s="20" t="s">
        <v>90</v>
      </c>
      <c r="C19" s="20" t="s">
        <v>124</v>
      </c>
      <c r="D19" s="21">
        <v>0</v>
      </c>
      <c r="E19" s="21">
        <v>0</v>
      </c>
      <c r="F19" s="27">
        <f t="shared" si="0"/>
        <v>0</v>
      </c>
      <c r="G19" s="28">
        <v>0</v>
      </c>
      <c r="H19" s="21">
        <f t="shared" si="1"/>
        <v>0</v>
      </c>
      <c r="I19" s="28">
        <v>0</v>
      </c>
      <c r="J19" s="21">
        <f t="shared" si="2"/>
        <v>0</v>
      </c>
      <c r="K19" s="28">
        <v>0</v>
      </c>
      <c r="L19" s="21">
        <f t="shared" si="3"/>
        <v>0</v>
      </c>
      <c r="M19" s="63"/>
      <c r="N19" s="63"/>
    </row>
    <row r="20" spans="1:14" x14ac:dyDescent="0.35">
      <c r="A20" s="63" t="s">
        <v>8</v>
      </c>
      <c r="B20" s="20" t="s">
        <v>90</v>
      </c>
      <c r="C20" s="20" t="s">
        <v>125</v>
      </c>
      <c r="D20" s="21">
        <v>0</v>
      </c>
      <c r="E20" s="21">
        <v>0</v>
      </c>
      <c r="F20" s="27">
        <f t="shared" si="0"/>
        <v>0</v>
      </c>
      <c r="G20" s="28">
        <v>0</v>
      </c>
      <c r="H20" s="21">
        <f t="shared" si="1"/>
        <v>0</v>
      </c>
      <c r="I20" s="28">
        <v>0</v>
      </c>
      <c r="J20" s="21">
        <f t="shared" si="2"/>
        <v>0</v>
      </c>
      <c r="K20" s="28">
        <v>0</v>
      </c>
      <c r="L20" s="21">
        <f t="shared" si="3"/>
        <v>0</v>
      </c>
      <c r="M20" s="63"/>
      <c r="N20" s="63"/>
    </row>
    <row r="21" spans="1:14" x14ac:dyDescent="0.35">
      <c r="A21" s="63" t="s">
        <v>29</v>
      </c>
      <c r="B21" s="20" t="s">
        <v>90</v>
      </c>
      <c r="C21" s="20" t="s">
        <v>126</v>
      </c>
      <c r="D21" s="21">
        <v>0</v>
      </c>
      <c r="E21" s="21">
        <v>0</v>
      </c>
      <c r="F21" s="27">
        <f t="shared" si="0"/>
        <v>0</v>
      </c>
      <c r="G21" s="28">
        <v>0</v>
      </c>
      <c r="H21" s="21">
        <f t="shared" si="1"/>
        <v>0</v>
      </c>
      <c r="I21" s="28">
        <v>0</v>
      </c>
      <c r="J21" s="21">
        <f t="shared" si="2"/>
        <v>0</v>
      </c>
      <c r="K21" s="28">
        <v>0</v>
      </c>
      <c r="L21" s="21">
        <f t="shared" si="3"/>
        <v>0</v>
      </c>
      <c r="M21" s="63"/>
      <c r="N21" s="63"/>
    </row>
    <row r="22" spans="1:14" x14ac:dyDescent="0.35">
      <c r="A22" s="63" t="s">
        <v>30</v>
      </c>
      <c r="B22" s="20" t="s">
        <v>90</v>
      </c>
      <c r="C22" s="20" t="s">
        <v>127</v>
      </c>
      <c r="D22" s="21">
        <v>0</v>
      </c>
      <c r="E22" s="21">
        <v>0</v>
      </c>
      <c r="F22" s="27">
        <f t="shared" si="0"/>
        <v>0</v>
      </c>
      <c r="G22" s="28">
        <v>0</v>
      </c>
      <c r="H22" s="21">
        <f t="shared" si="1"/>
        <v>0</v>
      </c>
      <c r="I22" s="28">
        <v>0</v>
      </c>
      <c r="J22" s="21">
        <f t="shared" si="2"/>
        <v>0</v>
      </c>
      <c r="K22" s="28">
        <v>0</v>
      </c>
      <c r="L22" s="21">
        <f t="shared" si="3"/>
        <v>0</v>
      </c>
      <c r="M22" s="63"/>
      <c r="N22" s="63"/>
    </row>
    <row r="23" spans="1:14" x14ac:dyDescent="0.35">
      <c r="A23" s="63" t="s">
        <v>31</v>
      </c>
      <c r="B23" s="20" t="s">
        <v>90</v>
      </c>
      <c r="C23" s="20" t="s">
        <v>128</v>
      </c>
      <c r="D23" s="21">
        <v>0</v>
      </c>
      <c r="E23" s="21">
        <v>0</v>
      </c>
      <c r="F23" s="27">
        <f t="shared" si="0"/>
        <v>0</v>
      </c>
      <c r="G23" s="28">
        <v>0</v>
      </c>
      <c r="H23" s="21">
        <f t="shared" si="1"/>
        <v>0</v>
      </c>
      <c r="I23" s="28">
        <v>0</v>
      </c>
      <c r="J23" s="21">
        <f t="shared" si="2"/>
        <v>0</v>
      </c>
      <c r="K23" s="28">
        <v>0</v>
      </c>
      <c r="L23" s="21">
        <f t="shared" si="3"/>
        <v>0</v>
      </c>
      <c r="M23" s="63"/>
      <c r="N23" s="63"/>
    </row>
    <row r="24" spans="1:14" x14ac:dyDescent="0.35">
      <c r="A24" s="63" t="s">
        <v>4</v>
      </c>
      <c r="B24" s="20" t="s">
        <v>90</v>
      </c>
      <c r="C24" s="20" t="s">
        <v>129</v>
      </c>
      <c r="D24" s="21">
        <v>830126.26</v>
      </c>
      <c r="E24" s="21">
        <v>876620.84</v>
      </c>
      <c r="F24" s="27">
        <f t="shared" si="0"/>
        <v>5.6009046141968666E-2</v>
      </c>
      <c r="G24" s="28">
        <v>0</v>
      </c>
      <c r="H24" s="21">
        <f t="shared" si="1"/>
        <v>876620.84</v>
      </c>
      <c r="I24" s="28">
        <v>0</v>
      </c>
      <c r="J24" s="21">
        <f t="shared" si="2"/>
        <v>876620.84</v>
      </c>
      <c r="K24" s="28">
        <v>0</v>
      </c>
      <c r="L24" s="21">
        <f t="shared" si="3"/>
        <v>876620.84</v>
      </c>
      <c r="M24" s="63"/>
      <c r="N24" s="63"/>
    </row>
    <row r="25" spans="1:14" x14ac:dyDescent="0.35">
      <c r="A25" s="63" t="s">
        <v>9</v>
      </c>
      <c r="B25" s="20" t="s">
        <v>90</v>
      </c>
      <c r="C25" s="20" t="s">
        <v>130</v>
      </c>
      <c r="D25" s="21">
        <v>1012127</v>
      </c>
      <c r="E25" s="21">
        <v>1359752.5799700001</v>
      </c>
      <c r="F25" s="27">
        <f t="shared" si="0"/>
        <v>0.34346043527146297</v>
      </c>
      <c r="G25" s="28">
        <v>0</v>
      </c>
      <c r="H25" s="21">
        <f t="shared" si="1"/>
        <v>1359752.5799700001</v>
      </c>
      <c r="I25" s="28">
        <v>0</v>
      </c>
      <c r="J25" s="21">
        <f t="shared" si="2"/>
        <v>1359752.5799700001</v>
      </c>
      <c r="K25" s="28">
        <v>0</v>
      </c>
      <c r="L25" s="21">
        <f t="shared" si="3"/>
        <v>1359752.5799700001</v>
      </c>
      <c r="M25" s="63"/>
      <c r="N25" s="63"/>
    </row>
    <row r="26" spans="1:14" x14ac:dyDescent="0.35">
      <c r="A26" s="63"/>
      <c r="B26" s="24"/>
      <c r="C26" s="24"/>
      <c r="D26" s="25">
        <f>SUM(D3:D25)</f>
        <v>5019730.28</v>
      </c>
      <c r="E26" s="25">
        <f>SUM(E3:E25)</f>
        <v>7503002.9129680004</v>
      </c>
      <c r="F26" s="26">
        <f t="shared" si="0"/>
        <v>0.49470240320720982</v>
      </c>
      <c r="G26" s="26">
        <f>IF(E26=0,0,H26/E26-1)</f>
        <v>0</v>
      </c>
      <c r="H26" s="25">
        <f>SUM(H3:H25)</f>
        <v>7503002.9129680004</v>
      </c>
      <c r="I26" s="26">
        <f>J26/H26-1</f>
        <v>0</v>
      </c>
      <c r="J26" s="25">
        <f>SUM(J3:J25)</f>
        <v>7503002.9129680004</v>
      </c>
      <c r="K26" s="26">
        <f>L26/J26-1</f>
        <v>0</v>
      </c>
      <c r="L26" s="25">
        <f>SUM(L3:L25)</f>
        <v>7503002.9129680004</v>
      </c>
      <c r="M26" s="63"/>
      <c r="N26" s="63"/>
    </row>
    <row r="27" spans="1:14" x14ac:dyDescent="0.35">
      <c r="A27" s="63"/>
      <c r="B27" s="20"/>
      <c r="C27" s="20"/>
      <c r="D27" s="21"/>
      <c r="E27" s="21"/>
      <c r="F27" s="27"/>
      <c r="G27" s="28"/>
      <c r="H27" s="21"/>
      <c r="I27" s="28"/>
      <c r="J27" s="21"/>
      <c r="K27" s="28"/>
      <c r="L27" s="21"/>
      <c r="M27" s="63"/>
      <c r="N27" s="63"/>
    </row>
    <row r="28" spans="1:14" x14ac:dyDescent="0.35">
      <c r="A28" s="63"/>
      <c r="B28" s="22" t="s">
        <v>78</v>
      </c>
      <c r="C28" s="22" t="s">
        <v>79</v>
      </c>
      <c r="D28" s="22" t="s">
        <v>80</v>
      </c>
      <c r="E28" s="22" t="s">
        <v>81</v>
      </c>
      <c r="F28" s="22" t="s">
        <v>82</v>
      </c>
      <c r="G28" s="22" t="s">
        <v>107</v>
      </c>
      <c r="H28" s="22" t="s">
        <v>83</v>
      </c>
      <c r="I28" s="22" t="s">
        <v>107</v>
      </c>
      <c r="J28" s="22" t="s">
        <v>83</v>
      </c>
      <c r="K28" s="22" t="s">
        <v>107</v>
      </c>
      <c r="L28" s="22" t="s">
        <v>83</v>
      </c>
      <c r="M28" s="63"/>
      <c r="N28" s="63"/>
    </row>
    <row r="29" spans="1:14" x14ac:dyDescent="0.35">
      <c r="A29" s="63"/>
      <c r="B29" s="23"/>
      <c r="C29" s="23"/>
      <c r="D29" s="22" t="s">
        <v>84</v>
      </c>
      <c r="E29" s="22" t="s">
        <v>85</v>
      </c>
      <c r="F29" s="22" t="s">
        <v>86</v>
      </c>
      <c r="G29" s="22"/>
      <c r="H29" s="22" t="s">
        <v>87</v>
      </c>
      <c r="I29" s="22"/>
      <c r="J29" s="22" t="s">
        <v>88</v>
      </c>
      <c r="K29" s="22"/>
      <c r="L29" s="22" t="s">
        <v>89</v>
      </c>
      <c r="M29" s="63"/>
      <c r="N29" s="63"/>
    </row>
    <row r="30" spans="1:14" x14ac:dyDescent="0.35">
      <c r="A30" s="63" t="s">
        <v>12</v>
      </c>
      <c r="B30" s="20" t="s">
        <v>104</v>
      </c>
      <c r="C30" s="20" t="s">
        <v>108</v>
      </c>
      <c r="D30" s="21">
        <v>1025853.4399999999</v>
      </c>
      <c r="E30" s="21">
        <v>769992</v>
      </c>
      <c r="F30" s="27">
        <f t="shared" ref="F30:F53" si="4">IF(D30=0,0,E30/D30-1)</f>
        <v>-0.24941324951837174</v>
      </c>
      <c r="G30" s="28">
        <v>0</v>
      </c>
      <c r="H30" s="21">
        <f t="shared" ref="H30:H52" si="5">IF(ISBLANK($G30),($E30*(1+$F30)),($E30*(1+$G30)))</f>
        <v>769992</v>
      </c>
      <c r="I30" s="28">
        <v>0</v>
      </c>
      <c r="J30" s="21">
        <f t="shared" ref="J30:J52" si="6">IF(ISBLANK($I30),($H30*(1+$F30)),($H30*(1+$I30)))</f>
        <v>769992</v>
      </c>
      <c r="K30" s="28">
        <v>0</v>
      </c>
      <c r="L30" s="21">
        <f t="shared" ref="L30:L52" si="7">IF(ISBLANK($K30),($J30*(1+$F30)),($J30*(1+$K30)))</f>
        <v>769992</v>
      </c>
      <c r="M30" s="63"/>
      <c r="N30" s="63"/>
    </row>
    <row r="31" spans="1:14" x14ac:dyDescent="0.35">
      <c r="A31" s="63" t="s">
        <v>13</v>
      </c>
      <c r="B31" s="20" t="s">
        <v>104</v>
      </c>
      <c r="C31" s="20" t="s">
        <v>109</v>
      </c>
      <c r="D31" s="21">
        <v>0</v>
      </c>
      <c r="E31" s="21">
        <v>0</v>
      </c>
      <c r="F31" s="27">
        <f t="shared" si="4"/>
        <v>0</v>
      </c>
      <c r="G31" s="28">
        <v>0</v>
      </c>
      <c r="H31" s="21">
        <f t="shared" si="5"/>
        <v>0</v>
      </c>
      <c r="I31" s="28">
        <v>0</v>
      </c>
      <c r="J31" s="21">
        <f t="shared" si="6"/>
        <v>0</v>
      </c>
      <c r="K31" s="28">
        <v>0</v>
      </c>
      <c r="L31" s="21">
        <f t="shared" si="7"/>
        <v>0</v>
      </c>
      <c r="M31" s="63"/>
      <c r="N31" s="63"/>
    </row>
    <row r="32" spans="1:14" x14ac:dyDescent="0.35">
      <c r="A32" s="63" t="s">
        <v>14</v>
      </c>
      <c r="B32" s="20" t="s">
        <v>104</v>
      </c>
      <c r="C32" s="20" t="s">
        <v>110</v>
      </c>
      <c r="D32" s="21">
        <v>858.91</v>
      </c>
      <c r="E32" s="21">
        <v>-2.04</v>
      </c>
      <c r="F32" s="27">
        <f t="shared" si="4"/>
        <v>-1.0023751033286374</v>
      </c>
      <c r="G32" s="28">
        <v>0</v>
      </c>
      <c r="H32" s="21">
        <f t="shared" si="5"/>
        <v>-2.04</v>
      </c>
      <c r="I32" s="28">
        <v>0</v>
      </c>
      <c r="J32" s="21">
        <f t="shared" si="6"/>
        <v>-2.04</v>
      </c>
      <c r="K32" s="28">
        <v>0</v>
      </c>
      <c r="L32" s="21">
        <f t="shared" si="7"/>
        <v>-2.04</v>
      </c>
      <c r="M32" s="63"/>
      <c r="N32" s="63"/>
    </row>
    <row r="33" spans="1:14" x14ac:dyDescent="0.35">
      <c r="A33" s="63" t="s">
        <v>15</v>
      </c>
      <c r="B33" s="20" t="s">
        <v>104</v>
      </c>
      <c r="C33" s="20" t="s">
        <v>111</v>
      </c>
      <c r="D33" s="21">
        <v>11556.17</v>
      </c>
      <c r="E33" s="21">
        <v>2.95</v>
      </c>
      <c r="F33" s="27">
        <f t="shared" si="4"/>
        <v>-0.9997447251122128</v>
      </c>
      <c r="G33" s="28">
        <v>0</v>
      </c>
      <c r="H33" s="21">
        <f t="shared" si="5"/>
        <v>2.95</v>
      </c>
      <c r="I33" s="28">
        <v>0</v>
      </c>
      <c r="J33" s="21">
        <f t="shared" si="6"/>
        <v>2.95</v>
      </c>
      <c r="K33" s="28">
        <v>0</v>
      </c>
      <c r="L33" s="21">
        <f t="shared" si="7"/>
        <v>2.95</v>
      </c>
      <c r="M33" s="63"/>
      <c r="N33" s="63"/>
    </row>
    <row r="34" spans="1:14" x14ac:dyDescent="0.35">
      <c r="A34" s="63" t="s">
        <v>16</v>
      </c>
      <c r="B34" s="20" t="s">
        <v>104</v>
      </c>
      <c r="C34" s="20" t="s">
        <v>112</v>
      </c>
      <c r="D34" s="21">
        <v>0</v>
      </c>
      <c r="E34" s="21">
        <v>0</v>
      </c>
      <c r="F34" s="27">
        <f t="shared" si="4"/>
        <v>0</v>
      </c>
      <c r="G34" s="28">
        <v>0</v>
      </c>
      <c r="H34" s="21">
        <f t="shared" si="5"/>
        <v>0</v>
      </c>
      <c r="I34" s="28">
        <v>0</v>
      </c>
      <c r="J34" s="21">
        <f t="shared" si="6"/>
        <v>0</v>
      </c>
      <c r="K34" s="28">
        <v>0</v>
      </c>
      <c r="L34" s="21">
        <f t="shared" si="7"/>
        <v>0</v>
      </c>
      <c r="M34" s="63"/>
      <c r="N34" s="63"/>
    </row>
    <row r="35" spans="1:14" x14ac:dyDescent="0.35">
      <c r="A35" s="63" t="s">
        <v>17</v>
      </c>
      <c r="B35" s="20" t="s">
        <v>104</v>
      </c>
      <c r="C35" s="20" t="s">
        <v>113</v>
      </c>
      <c r="D35" s="21">
        <v>175599.96</v>
      </c>
      <c r="E35" s="21">
        <v>203998.22</v>
      </c>
      <c r="F35" s="27">
        <f t="shared" si="4"/>
        <v>0.16172133524404009</v>
      </c>
      <c r="G35" s="28">
        <v>0</v>
      </c>
      <c r="H35" s="21">
        <f t="shared" si="5"/>
        <v>203998.22</v>
      </c>
      <c r="I35" s="28">
        <v>0</v>
      </c>
      <c r="J35" s="21">
        <f t="shared" si="6"/>
        <v>203998.22</v>
      </c>
      <c r="K35" s="28">
        <v>0</v>
      </c>
      <c r="L35" s="21">
        <f t="shared" si="7"/>
        <v>203998.22</v>
      </c>
      <c r="M35" s="63"/>
      <c r="N35" s="63"/>
    </row>
    <row r="36" spans="1:14" x14ac:dyDescent="0.35">
      <c r="A36" s="63" t="s">
        <v>18</v>
      </c>
      <c r="B36" s="20" t="s">
        <v>104</v>
      </c>
      <c r="C36" s="20" t="s">
        <v>114</v>
      </c>
      <c r="D36" s="21">
        <v>19727.66</v>
      </c>
      <c r="E36" s="21">
        <v>23996</v>
      </c>
      <c r="F36" s="27">
        <f t="shared" si="4"/>
        <v>0.21636321793867097</v>
      </c>
      <c r="G36" s="28">
        <v>0</v>
      </c>
      <c r="H36" s="21">
        <f t="shared" si="5"/>
        <v>23996</v>
      </c>
      <c r="I36" s="28">
        <v>0</v>
      </c>
      <c r="J36" s="21">
        <f t="shared" si="6"/>
        <v>23996</v>
      </c>
      <c r="K36" s="28">
        <v>0</v>
      </c>
      <c r="L36" s="21">
        <f t="shared" si="7"/>
        <v>23996</v>
      </c>
      <c r="M36" s="63"/>
      <c r="N36" s="63"/>
    </row>
    <row r="37" spans="1:14" x14ac:dyDescent="0.35">
      <c r="A37" s="63" t="s">
        <v>19</v>
      </c>
      <c r="B37" s="20" t="s">
        <v>104</v>
      </c>
      <c r="C37" s="20" t="s">
        <v>115</v>
      </c>
      <c r="D37" s="21">
        <v>0</v>
      </c>
      <c r="E37" s="21">
        <v>0</v>
      </c>
      <c r="F37" s="27">
        <f t="shared" si="4"/>
        <v>0</v>
      </c>
      <c r="G37" s="28">
        <v>0</v>
      </c>
      <c r="H37" s="21">
        <f t="shared" si="5"/>
        <v>0</v>
      </c>
      <c r="I37" s="28">
        <v>0</v>
      </c>
      <c r="J37" s="21">
        <f t="shared" si="6"/>
        <v>0</v>
      </c>
      <c r="K37" s="28">
        <v>0</v>
      </c>
      <c r="L37" s="21">
        <f t="shared" si="7"/>
        <v>0</v>
      </c>
      <c r="M37" s="63"/>
      <c r="N37" s="63"/>
    </row>
    <row r="38" spans="1:14" x14ac:dyDescent="0.35">
      <c r="A38" s="63" t="s">
        <v>20</v>
      </c>
      <c r="B38" s="20" t="s">
        <v>104</v>
      </c>
      <c r="C38" s="20" t="s">
        <v>116</v>
      </c>
      <c r="D38" s="21">
        <v>0</v>
      </c>
      <c r="E38" s="21">
        <v>0</v>
      </c>
      <c r="F38" s="27">
        <f t="shared" si="4"/>
        <v>0</v>
      </c>
      <c r="G38" s="28">
        <v>0</v>
      </c>
      <c r="H38" s="21">
        <f t="shared" si="5"/>
        <v>0</v>
      </c>
      <c r="I38" s="28">
        <v>0</v>
      </c>
      <c r="J38" s="21">
        <f t="shared" si="6"/>
        <v>0</v>
      </c>
      <c r="K38" s="28">
        <v>0</v>
      </c>
      <c r="L38" s="21">
        <f t="shared" si="7"/>
        <v>0</v>
      </c>
      <c r="M38" s="63"/>
      <c r="N38" s="63"/>
    </row>
    <row r="39" spans="1:14" x14ac:dyDescent="0.35">
      <c r="A39" s="63" t="s">
        <v>21</v>
      </c>
      <c r="B39" s="20" t="s">
        <v>104</v>
      </c>
      <c r="C39" s="20" t="s">
        <v>117</v>
      </c>
      <c r="D39" s="21">
        <v>2843.62</v>
      </c>
      <c r="E39" s="21">
        <v>0</v>
      </c>
      <c r="F39" s="27">
        <f t="shared" si="4"/>
        <v>-1</v>
      </c>
      <c r="G39" s="28">
        <v>0</v>
      </c>
      <c r="H39" s="21">
        <f t="shared" si="5"/>
        <v>0</v>
      </c>
      <c r="I39" s="28">
        <v>0</v>
      </c>
      <c r="J39" s="21">
        <f t="shared" si="6"/>
        <v>0</v>
      </c>
      <c r="K39" s="28">
        <v>0</v>
      </c>
      <c r="L39" s="21">
        <f t="shared" si="7"/>
        <v>0</v>
      </c>
      <c r="M39" s="63"/>
      <c r="N39" s="63"/>
    </row>
    <row r="40" spans="1:14" x14ac:dyDescent="0.35">
      <c r="A40" s="63" t="s">
        <v>22</v>
      </c>
      <c r="B40" s="20" t="s">
        <v>104</v>
      </c>
      <c r="C40" s="20" t="s">
        <v>118</v>
      </c>
      <c r="D40" s="21">
        <v>16194.41</v>
      </c>
      <c r="E40" s="21">
        <v>48003.38</v>
      </c>
      <c r="F40" s="27">
        <f t="shared" si="4"/>
        <v>1.9641944349933094</v>
      </c>
      <c r="G40" s="28">
        <v>0</v>
      </c>
      <c r="H40" s="21">
        <f t="shared" si="5"/>
        <v>48003.38</v>
      </c>
      <c r="I40" s="28">
        <v>0</v>
      </c>
      <c r="J40" s="21">
        <f t="shared" si="6"/>
        <v>48003.38</v>
      </c>
      <c r="K40" s="28">
        <v>0</v>
      </c>
      <c r="L40" s="21">
        <f t="shared" si="7"/>
        <v>48003.38</v>
      </c>
      <c r="M40" s="63"/>
      <c r="N40" s="63"/>
    </row>
    <row r="41" spans="1:14" x14ac:dyDescent="0.35">
      <c r="A41" s="63" t="s">
        <v>23</v>
      </c>
      <c r="B41" s="20" t="s">
        <v>104</v>
      </c>
      <c r="C41" s="20" t="s">
        <v>119</v>
      </c>
      <c r="D41" s="21">
        <v>0</v>
      </c>
      <c r="E41" s="21">
        <v>0</v>
      </c>
      <c r="F41" s="27">
        <f t="shared" si="4"/>
        <v>0</v>
      </c>
      <c r="G41" s="28">
        <v>0</v>
      </c>
      <c r="H41" s="21">
        <f t="shared" si="5"/>
        <v>0</v>
      </c>
      <c r="I41" s="28">
        <v>0</v>
      </c>
      <c r="J41" s="21">
        <f t="shared" si="6"/>
        <v>0</v>
      </c>
      <c r="K41" s="28">
        <v>0</v>
      </c>
      <c r="L41" s="21">
        <f t="shared" si="7"/>
        <v>0</v>
      </c>
      <c r="M41" s="63"/>
      <c r="N41" s="63"/>
    </row>
    <row r="42" spans="1:14" x14ac:dyDescent="0.35">
      <c r="A42" s="63" t="s">
        <v>24</v>
      </c>
      <c r="B42" s="20" t="s">
        <v>104</v>
      </c>
      <c r="C42" s="20" t="s">
        <v>120</v>
      </c>
      <c r="D42" s="21">
        <v>0</v>
      </c>
      <c r="E42" s="21">
        <v>0</v>
      </c>
      <c r="F42" s="27">
        <f t="shared" si="4"/>
        <v>0</v>
      </c>
      <c r="G42" s="28">
        <v>0</v>
      </c>
      <c r="H42" s="21">
        <f t="shared" si="5"/>
        <v>0</v>
      </c>
      <c r="I42" s="28">
        <v>0</v>
      </c>
      <c r="J42" s="21">
        <f t="shared" si="6"/>
        <v>0</v>
      </c>
      <c r="K42" s="28">
        <v>0</v>
      </c>
      <c r="L42" s="21">
        <f t="shared" si="7"/>
        <v>0</v>
      </c>
      <c r="M42" s="63"/>
      <c r="N42" s="63"/>
    </row>
    <row r="43" spans="1:14" x14ac:dyDescent="0.35">
      <c r="A43" s="63" t="s">
        <v>25</v>
      </c>
      <c r="B43" s="20" t="s">
        <v>104</v>
      </c>
      <c r="C43" s="20" t="s">
        <v>121</v>
      </c>
      <c r="D43" s="21">
        <v>129920</v>
      </c>
      <c r="E43" s="21">
        <v>5008</v>
      </c>
      <c r="F43" s="27">
        <f t="shared" si="4"/>
        <v>-0.96145320197044337</v>
      </c>
      <c r="G43" s="28">
        <v>0</v>
      </c>
      <c r="H43" s="21">
        <f t="shared" si="5"/>
        <v>5008</v>
      </c>
      <c r="I43" s="28">
        <v>0</v>
      </c>
      <c r="J43" s="21">
        <f t="shared" si="6"/>
        <v>5008</v>
      </c>
      <c r="K43" s="28">
        <v>0</v>
      </c>
      <c r="L43" s="21">
        <f t="shared" si="7"/>
        <v>5008</v>
      </c>
      <c r="M43" s="63"/>
      <c r="N43" s="63"/>
    </row>
    <row r="44" spans="1:14" x14ac:dyDescent="0.35">
      <c r="A44" s="63" t="s">
        <v>26</v>
      </c>
      <c r="B44" s="20" t="s">
        <v>104</v>
      </c>
      <c r="C44" s="20" t="s">
        <v>122</v>
      </c>
      <c r="D44" s="21">
        <v>0</v>
      </c>
      <c r="E44" s="21">
        <v>0</v>
      </c>
      <c r="F44" s="27">
        <f t="shared" si="4"/>
        <v>0</v>
      </c>
      <c r="G44" s="28">
        <v>0</v>
      </c>
      <c r="H44" s="21">
        <f t="shared" si="5"/>
        <v>0</v>
      </c>
      <c r="I44" s="28">
        <v>0</v>
      </c>
      <c r="J44" s="21">
        <f t="shared" si="6"/>
        <v>0</v>
      </c>
      <c r="K44" s="28">
        <v>0</v>
      </c>
      <c r="L44" s="21">
        <f t="shared" si="7"/>
        <v>0</v>
      </c>
      <c r="M44" s="63"/>
      <c r="N44" s="63"/>
    </row>
    <row r="45" spans="1:14" x14ac:dyDescent="0.35">
      <c r="A45" s="63" t="s">
        <v>27</v>
      </c>
      <c r="B45" s="20" t="s">
        <v>104</v>
      </c>
      <c r="C45" s="20" t="s">
        <v>123</v>
      </c>
      <c r="D45" s="21">
        <v>0</v>
      </c>
      <c r="E45" s="21">
        <v>0</v>
      </c>
      <c r="F45" s="27">
        <f t="shared" si="4"/>
        <v>0</v>
      </c>
      <c r="G45" s="28">
        <v>0</v>
      </c>
      <c r="H45" s="21">
        <f t="shared" si="5"/>
        <v>0</v>
      </c>
      <c r="I45" s="28">
        <v>0</v>
      </c>
      <c r="J45" s="21">
        <f t="shared" si="6"/>
        <v>0</v>
      </c>
      <c r="K45" s="28">
        <v>0</v>
      </c>
      <c r="L45" s="21">
        <f t="shared" si="7"/>
        <v>0</v>
      </c>
      <c r="M45" s="63"/>
      <c r="N45" s="63"/>
    </row>
    <row r="46" spans="1:14" x14ac:dyDescent="0.35">
      <c r="A46" s="63" t="s">
        <v>28</v>
      </c>
      <c r="B46" s="20" t="s">
        <v>104</v>
      </c>
      <c r="C46" s="20" t="s">
        <v>124</v>
      </c>
      <c r="D46" s="21">
        <v>0</v>
      </c>
      <c r="E46" s="21">
        <v>0</v>
      </c>
      <c r="F46" s="27">
        <f t="shared" si="4"/>
        <v>0</v>
      </c>
      <c r="G46" s="28">
        <v>0</v>
      </c>
      <c r="H46" s="21">
        <f t="shared" si="5"/>
        <v>0</v>
      </c>
      <c r="I46" s="28">
        <v>0</v>
      </c>
      <c r="J46" s="21">
        <f t="shared" si="6"/>
        <v>0</v>
      </c>
      <c r="K46" s="28">
        <v>0</v>
      </c>
      <c r="L46" s="21">
        <f t="shared" si="7"/>
        <v>0</v>
      </c>
      <c r="M46" s="63"/>
      <c r="N46" s="63"/>
    </row>
    <row r="47" spans="1:14" x14ac:dyDescent="0.35">
      <c r="A47" s="63" t="s">
        <v>8</v>
      </c>
      <c r="B47" s="20" t="s">
        <v>104</v>
      </c>
      <c r="C47" s="20" t="s">
        <v>125</v>
      </c>
      <c r="D47" s="21">
        <v>0</v>
      </c>
      <c r="E47" s="21">
        <v>0</v>
      </c>
      <c r="F47" s="27">
        <f t="shared" si="4"/>
        <v>0</v>
      </c>
      <c r="G47" s="28">
        <v>0</v>
      </c>
      <c r="H47" s="21">
        <f t="shared" si="5"/>
        <v>0</v>
      </c>
      <c r="I47" s="28">
        <v>0</v>
      </c>
      <c r="J47" s="21">
        <f t="shared" si="6"/>
        <v>0</v>
      </c>
      <c r="K47" s="28">
        <v>0</v>
      </c>
      <c r="L47" s="21">
        <f t="shared" si="7"/>
        <v>0</v>
      </c>
      <c r="M47" s="63"/>
      <c r="N47" s="63"/>
    </row>
    <row r="48" spans="1:14" x14ac:dyDescent="0.35">
      <c r="A48" s="63" t="s">
        <v>29</v>
      </c>
      <c r="B48" s="20" t="s">
        <v>104</v>
      </c>
      <c r="C48" s="20" t="s">
        <v>126</v>
      </c>
      <c r="D48" s="21">
        <v>0</v>
      </c>
      <c r="E48" s="21">
        <v>0</v>
      </c>
      <c r="F48" s="27">
        <f t="shared" si="4"/>
        <v>0</v>
      </c>
      <c r="G48" s="28">
        <v>0</v>
      </c>
      <c r="H48" s="21">
        <f t="shared" si="5"/>
        <v>0</v>
      </c>
      <c r="I48" s="28">
        <v>0</v>
      </c>
      <c r="J48" s="21">
        <f t="shared" si="6"/>
        <v>0</v>
      </c>
      <c r="K48" s="28">
        <v>0</v>
      </c>
      <c r="L48" s="21">
        <f t="shared" si="7"/>
        <v>0</v>
      </c>
      <c r="M48" s="63"/>
      <c r="N48" s="63"/>
    </row>
    <row r="49" spans="1:14" x14ac:dyDescent="0.35">
      <c r="A49" s="63" t="s">
        <v>30</v>
      </c>
      <c r="B49" s="20" t="s">
        <v>104</v>
      </c>
      <c r="C49" s="20" t="s">
        <v>127</v>
      </c>
      <c r="D49" s="21">
        <v>0</v>
      </c>
      <c r="E49" s="21">
        <v>0</v>
      </c>
      <c r="F49" s="27">
        <f t="shared" si="4"/>
        <v>0</v>
      </c>
      <c r="G49" s="28">
        <v>0</v>
      </c>
      <c r="H49" s="21">
        <f t="shared" si="5"/>
        <v>0</v>
      </c>
      <c r="I49" s="28">
        <v>0</v>
      </c>
      <c r="J49" s="21">
        <f t="shared" si="6"/>
        <v>0</v>
      </c>
      <c r="K49" s="28">
        <v>0</v>
      </c>
      <c r="L49" s="21">
        <f t="shared" si="7"/>
        <v>0</v>
      </c>
      <c r="M49" s="63"/>
      <c r="N49" s="63"/>
    </row>
    <row r="50" spans="1:14" x14ac:dyDescent="0.35">
      <c r="A50" s="63" t="s">
        <v>31</v>
      </c>
      <c r="B50" s="20" t="s">
        <v>104</v>
      </c>
      <c r="C50" s="20" t="s">
        <v>128</v>
      </c>
      <c r="D50" s="21">
        <v>0</v>
      </c>
      <c r="E50" s="21">
        <v>0</v>
      </c>
      <c r="F50" s="27">
        <f t="shared" si="4"/>
        <v>0</v>
      </c>
      <c r="G50" s="28">
        <v>0</v>
      </c>
      <c r="H50" s="21">
        <f t="shared" si="5"/>
        <v>0</v>
      </c>
      <c r="I50" s="28">
        <v>0</v>
      </c>
      <c r="J50" s="21">
        <f t="shared" si="6"/>
        <v>0</v>
      </c>
      <c r="K50" s="28">
        <v>0</v>
      </c>
      <c r="L50" s="21">
        <f t="shared" si="7"/>
        <v>0</v>
      </c>
      <c r="M50" s="63"/>
      <c r="N50" s="63"/>
    </row>
    <row r="51" spans="1:14" x14ac:dyDescent="0.35">
      <c r="A51" s="63" t="s">
        <v>4</v>
      </c>
      <c r="B51" s="20" t="s">
        <v>104</v>
      </c>
      <c r="C51" s="20" t="s">
        <v>129</v>
      </c>
      <c r="D51" s="21">
        <v>0</v>
      </c>
      <c r="E51" s="21">
        <v>0</v>
      </c>
      <c r="F51" s="27">
        <f t="shared" si="4"/>
        <v>0</v>
      </c>
      <c r="G51" s="28">
        <v>0</v>
      </c>
      <c r="H51" s="21">
        <f t="shared" si="5"/>
        <v>0</v>
      </c>
      <c r="I51" s="28">
        <v>0</v>
      </c>
      <c r="J51" s="21">
        <f t="shared" si="6"/>
        <v>0</v>
      </c>
      <c r="K51" s="28">
        <v>0</v>
      </c>
      <c r="L51" s="21">
        <f t="shared" si="7"/>
        <v>0</v>
      </c>
      <c r="M51" s="63"/>
      <c r="N51" s="63"/>
    </row>
    <row r="52" spans="1:14" x14ac:dyDescent="0.35">
      <c r="A52" s="63" t="s">
        <v>9</v>
      </c>
      <c r="B52" s="20" t="s">
        <v>104</v>
      </c>
      <c r="C52" s="20" t="s">
        <v>130</v>
      </c>
      <c r="D52" s="21">
        <v>0</v>
      </c>
      <c r="E52" s="21">
        <v>0</v>
      </c>
      <c r="F52" s="27">
        <f t="shared" si="4"/>
        <v>0</v>
      </c>
      <c r="G52" s="28">
        <v>0</v>
      </c>
      <c r="H52" s="21">
        <f t="shared" si="5"/>
        <v>0</v>
      </c>
      <c r="I52" s="28">
        <v>0</v>
      </c>
      <c r="J52" s="21">
        <f t="shared" si="6"/>
        <v>0</v>
      </c>
      <c r="K52" s="28">
        <v>0</v>
      </c>
      <c r="L52" s="21">
        <f t="shared" si="7"/>
        <v>0</v>
      </c>
      <c r="M52" s="63"/>
      <c r="N52" s="63"/>
    </row>
    <row r="53" spans="1:14" x14ac:dyDescent="0.35">
      <c r="A53" s="63"/>
      <c r="B53" s="24"/>
      <c r="C53" s="24"/>
      <c r="D53" s="25">
        <f>SUM(D30:D52)</f>
        <v>1382554.17</v>
      </c>
      <c r="E53" s="25">
        <f>SUM(E30:E52)</f>
        <v>1050998.5099999998</v>
      </c>
      <c r="F53" s="26">
        <f t="shared" si="4"/>
        <v>-0.23981386566574836</v>
      </c>
      <c r="G53" s="26">
        <f>IF(E53=0,0,H53/E53-1)</f>
        <v>0</v>
      </c>
      <c r="H53" s="25">
        <f>SUM(H30:H52)</f>
        <v>1050998.5099999998</v>
      </c>
      <c r="I53" s="26">
        <f>J53/H53-1</f>
        <v>0</v>
      </c>
      <c r="J53" s="25">
        <f>SUM(J30:J52)</f>
        <v>1050998.5099999998</v>
      </c>
      <c r="K53" s="26">
        <f>L53/J53-1</f>
        <v>0</v>
      </c>
      <c r="L53" s="25">
        <f>SUM(L30:L52)</f>
        <v>1050998.5099999998</v>
      </c>
      <c r="M53" s="63"/>
      <c r="N53" s="63"/>
    </row>
    <row r="54" spans="1:14" x14ac:dyDescent="0.35">
      <c r="A54" s="63"/>
      <c r="B54" s="20"/>
      <c r="C54" s="20"/>
      <c r="D54" s="21"/>
      <c r="E54" s="21"/>
      <c r="F54" s="27"/>
      <c r="G54" s="28"/>
      <c r="H54" s="21"/>
      <c r="I54" s="28"/>
      <c r="J54" s="21"/>
      <c r="K54" s="28"/>
      <c r="L54" s="21"/>
      <c r="M54" s="63"/>
      <c r="N54" s="63"/>
    </row>
    <row r="55" spans="1:14" x14ac:dyDescent="0.35">
      <c r="A55" s="63"/>
      <c r="B55" s="22" t="s">
        <v>78</v>
      </c>
      <c r="C55" s="22" t="s">
        <v>79</v>
      </c>
      <c r="D55" s="22" t="s">
        <v>80</v>
      </c>
      <c r="E55" s="22" t="s">
        <v>81</v>
      </c>
      <c r="F55" s="22" t="s">
        <v>82</v>
      </c>
      <c r="G55" s="22" t="s">
        <v>107</v>
      </c>
      <c r="H55" s="22" t="s">
        <v>83</v>
      </c>
      <c r="I55" s="22" t="s">
        <v>107</v>
      </c>
      <c r="J55" s="22" t="s">
        <v>83</v>
      </c>
      <c r="K55" s="22" t="s">
        <v>107</v>
      </c>
      <c r="L55" s="22" t="s">
        <v>83</v>
      </c>
      <c r="M55" s="63"/>
      <c r="N55" s="63"/>
    </row>
    <row r="56" spans="1:14" x14ac:dyDescent="0.35">
      <c r="A56" s="63"/>
      <c r="B56" s="23"/>
      <c r="C56" s="23"/>
      <c r="D56" s="22" t="s">
        <v>84</v>
      </c>
      <c r="E56" s="22" t="s">
        <v>85</v>
      </c>
      <c r="F56" s="22" t="s">
        <v>86</v>
      </c>
      <c r="G56" s="22"/>
      <c r="H56" s="22" t="s">
        <v>87</v>
      </c>
      <c r="I56" s="22"/>
      <c r="J56" s="22" t="s">
        <v>88</v>
      </c>
      <c r="K56" s="22"/>
      <c r="L56" s="22" t="s">
        <v>89</v>
      </c>
      <c r="M56" s="63"/>
      <c r="N56" s="63"/>
    </row>
    <row r="57" spans="1:14" x14ac:dyDescent="0.35">
      <c r="A57" s="63" t="s">
        <v>12</v>
      </c>
      <c r="B57" s="20" t="s">
        <v>105</v>
      </c>
      <c r="C57" s="20" t="s">
        <v>108</v>
      </c>
      <c r="D57" s="21">
        <v>3361543.71</v>
      </c>
      <c r="E57" s="21">
        <v>4361510.7300000004</v>
      </c>
      <c r="F57" s="27">
        <f t="shared" ref="F57:F80" si="8">IF(D57=0,0,E57/D57-1)</f>
        <v>0.29747256209261086</v>
      </c>
      <c r="G57" s="28">
        <v>0</v>
      </c>
      <c r="H57" s="21">
        <f t="shared" ref="H57:H79" si="9">IF(ISBLANK($G57),($E57*(1+$F57)),($E57*(1+$G57)))</f>
        <v>4361510.7300000004</v>
      </c>
      <c r="I57" s="28">
        <v>0</v>
      </c>
      <c r="J57" s="21">
        <f t="shared" ref="J57:J79" si="10">IF(ISBLANK($I57),($H57*(1+$F57)),($H57*(1+$I57)))</f>
        <v>4361510.7300000004</v>
      </c>
      <c r="K57" s="28">
        <v>0</v>
      </c>
      <c r="L57" s="21">
        <f t="shared" ref="L57:L79" si="11">IF(ISBLANK($K57),($J57*(1+$F57)),($J57*(1+$K57)))</f>
        <v>4361510.7300000004</v>
      </c>
      <c r="M57" s="63"/>
      <c r="N57" s="63"/>
    </row>
    <row r="58" spans="1:14" x14ac:dyDescent="0.35">
      <c r="A58" s="63" t="s">
        <v>13</v>
      </c>
      <c r="B58" s="20" t="s">
        <v>105</v>
      </c>
      <c r="C58" s="20" t="s">
        <v>109</v>
      </c>
      <c r="D58" s="21">
        <v>35284.410000000003</v>
      </c>
      <c r="E58" s="21">
        <v>1.89</v>
      </c>
      <c r="F58" s="27">
        <f t="shared" si="8"/>
        <v>-0.99994643526702021</v>
      </c>
      <c r="G58" s="28">
        <v>0</v>
      </c>
      <c r="H58" s="21">
        <f t="shared" si="9"/>
        <v>1.89</v>
      </c>
      <c r="I58" s="28">
        <v>0</v>
      </c>
      <c r="J58" s="21">
        <f t="shared" si="10"/>
        <v>1.89</v>
      </c>
      <c r="K58" s="28">
        <v>0</v>
      </c>
      <c r="L58" s="21">
        <f t="shared" si="11"/>
        <v>1.89</v>
      </c>
      <c r="M58" s="63"/>
      <c r="N58" s="63"/>
    </row>
    <row r="59" spans="1:14" x14ac:dyDescent="0.35">
      <c r="A59" s="63" t="s">
        <v>14</v>
      </c>
      <c r="B59" s="20" t="s">
        <v>105</v>
      </c>
      <c r="C59" s="20" t="s">
        <v>110</v>
      </c>
      <c r="D59" s="21">
        <v>7746.8</v>
      </c>
      <c r="E59" s="21">
        <v>5007.59</v>
      </c>
      <c r="F59" s="27">
        <f t="shared" si="8"/>
        <v>-0.35359245107657356</v>
      </c>
      <c r="G59" s="28">
        <v>0</v>
      </c>
      <c r="H59" s="21">
        <f t="shared" si="9"/>
        <v>5007.59</v>
      </c>
      <c r="I59" s="28">
        <v>0</v>
      </c>
      <c r="J59" s="21">
        <f t="shared" si="10"/>
        <v>5007.59</v>
      </c>
      <c r="K59" s="28">
        <v>0</v>
      </c>
      <c r="L59" s="21">
        <f t="shared" si="11"/>
        <v>5007.59</v>
      </c>
      <c r="M59" s="63"/>
      <c r="N59" s="63"/>
    </row>
    <row r="60" spans="1:14" x14ac:dyDescent="0.35">
      <c r="A60" s="63" t="s">
        <v>15</v>
      </c>
      <c r="B60" s="20" t="s">
        <v>105</v>
      </c>
      <c r="C60" s="20" t="s">
        <v>111</v>
      </c>
      <c r="D60" s="21">
        <v>31361.57</v>
      </c>
      <c r="E60" s="21">
        <v>46239.61</v>
      </c>
      <c r="F60" s="27">
        <f t="shared" si="8"/>
        <v>0.47440354548576491</v>
      </c>
      <c r="G60" s="28">
        <v>0</v>
      </c>
      <c r="H60" s="21">
        <f t="shared" si="9"/>
        <v>46239.61</v>
      </c>
      <c r="I60" s="28">
        <v>0</v>
      </c>
      <c r="J60" s="21">
        <f t="shared" si="10"/>
        <v>46239.61</v>
      </c>
      <c r="K60" s="28">
        <v>0</v>
      </c>
      <c r="L60" s="21">
        <f t="shared" si="11"/>
        <v>46239.61</v>
      </c>
      <c r="M60" s="63"/>
      <c r="N60" s="63"/>
    </row>
    <row r="61" spans="1:14" x14ac:dyDescent="0.35">
      <c r="A61" s="63" t="s">
        <v>16</v>
      </c>
      <c r="B61" s="20" t="s">
        <v>105</v>
      </c>
      <c r="C61" s="20" t="s">
        <v>112</v>
      </c>
      <c r="D61" s="21">
        <v>364968</v>
      </c>
      <c r="E61" s="21">
        <v>747958</v>
      </c>
      <c r="F61" s="27">
        <f t="shared" si="8"/>
        <v>1.0493796716424453</v>
      </c>
      <c r="G61" s="28">
        <v>0</v>
      </c>
      <c r="H61" s="21">
        <f t="shared" si="9"/>
        <v>747958</v>
      </c>
      <c r="I61" s="28">
        <v>0</v>
      </c>
      <c r="J61" s="21">
        <f t="shared" si="10"/>
        <v>747958</v>
      </c>
      <c r="K61" s="28">
        <v>0</v>
      </c>
      <c r="L61" s="21">
        <f t="shared" si="11"/>
        <v>747958</v>
      </c>
      <c r="M61" s="63"/>
      <c r="N61" s="63"/>
    </row>
    <row r="62" spans="1:14" x14ac:dyDescent="0.35">
      <c r="A62" s="63" t="s">
        <v>17</v>
      </c>
      <c r="B62" s="20" t="s">
        <v>105</v>
      </c>
      <c r="C62" s="20" t="s">
        <v>113</v>
      </c>
      <c r="D62" s="21">
        <v>643865.84</v>
      </c>
      <c r="E62" s="21">
        <v>594403.82999999996</v>
      </c>
      <c r="F62" s="27">
        <f t="shared" si="8"/>
        <v>-7.6820366801879092E-2</v>
      </c>
      <c r="G62" s="28">
        <v>0</v>
      </c>
      <c r="H62" s="21">
        <f t="shared" si="9"/>
        <v>594403.82999999996</v>
      </c>
      <c r="I62" s="28">
        <v>0</v>
      </c>
      <c r="J62" s="21">
        <f t="shared" si="10"/>
        <v>594403.82999999996</v>
      </c>
      <c r="K62" s="28">
        <v>0</v>
      </c>
      <c r="L62" s="21">
        <f t="shared" si="11"/>
        <v>594403.82999999996</v>
      </c>
      <c r="M62" s="63"/>
      <c r="N62" s="63"/>
    </row>
    <row r="63" spans="1:14" x14ac:dyDescent="0.35">
      <c r="A63" s="63" t="s">
        <v>18</v>
      </c>
      <c r="B63" s="20" t="s">
        <v>105</v>
      </c>
      <c r="C63" s="20" t="s">
        <v>114</v>
      </c>
      <c r="D63" s="21">
        <v>13083.87</v>
      </c>
      <c r="E63" s="21">
        <v>11544</v>
      </c>
      <c r="F63" s="27">
        <f t="shared" si="8"/>
        <v>-0.11769224243285825</v>
      </c>
      <c r="G63" s="28">
        <v>0</v>
      </c>
      <c r="H63" s="21">
        <f t="shared" si="9"/>
        <v>11544</v>
      </c>
      <c r="I63" s="28">
        <v>0</v>
      </c>
      <c r="J63" s="21">
        <f t="shared" si="10"/>
        <v>11544</v>
      </c>
      <c r="K63" s="28">
        <v>0</v>
      </c>
      <c r="L63" s="21">
        <f t="shared" si="11"/>
        <v>11544</v>
      </c>
      <c r="M63" s="63"/>
      <c r="N63" s="63"/>
    </row>
    <row r="64" spans="1:14" x14ac:dyDescent="0.35">
      <c r="A64" s="63" t="s">
        <v>19</v>
      </c>
      <c r="B64" s="20" t="s">
        <v>105</v>
      </c>
      <c r="C64" s="20" t="s">
        <v>115</v>
      </c>
      <c r="D64" s="21">
        <v>0</v>
      </c>
      <c r="E64" s="21">
        <v>0</v>
      </c>
      <c r="F64" s="27">
        <f t="shared" si="8"/>
        <v>0</v>
      </c>
      <c r="G64" s="28">
        <v>0</v>
      </c>
      <c r="H64" s="21">
        <f t="shared" si="9"/>
        <v>0</v>
      </c>
      <c r="I64" s="28">
        <v>0</v>
      </c>
      <c r="J64" s="21">
        <f t="shared" si="10"/>
        <v>0</v>
      </c>
      <c r="K64" s="28">
        <v>0</v>
      </c>
      <c r="L64" s="21">
        <f t="shared" si="11"/>
        <v>0</v>
      </c>
      <c r="M64" s="63"/>
      <c r="N64" s="63"/>
    </row>
    <row r="65" spans="1:14" x14ac:dyDescent="0.35">
      <c r="A65" s="63" t="s">
        <v>20</v>
      </c>
      <c r="B65" s="20" t="s">
        <v>105</v>
      </c>
      <c r="C65" s="20" t="s">
        <v>116</v>
      </c>
      <c r="D65" s="21">
        <v>720.93</v>
      </c>
      <c r="E65" s="21">
        <v>0</v>
      </c>
      <c r="F65" s="27">
        <f t="shared" si="8"/>
        <v>-1</v>
      </c>
      <c r="G65" s="28">
        <v>0</v>
      </c>
      <c r="H65" s="21">
        <f t="shared" si="9"/>
        <v>0</v>
      </c>
      <c r="I65" s="28">
        <v>0</v>
      </c>
      <c r="J65" s="21">
        <f t="shared" si="10"/>
        <v>0</v>
      </c>
      <c r="K65" s="28">
        <v>0</v>
      </c>
      <c r="L65" s="21">
        <f t="shared" si="11"/>
        <v>0</v>
      </c>
      <c r="M65" s="63"/>
      <c r="N65" s="63"/>
    </row>
    <row r="66" spans="1:14" x14ac:dyDescent="0.35">
      <c r="A66" s="63" t="s">
        <v>21</v>
      </c>
      <c r="B66" s="20" t="s">
        <v>105</v>
      </c>
      <c r="C66" s="20" t="s">
        <v>117</v>
      </c>
      <c r="D66" s="21">
        <v>65250.82</v>
      </c>
      <c r="E66" s="21">
        <v>20005.830000000002</v>
      </c>
      <c r="F66" s="27">
        <f t="shared" si="8"/>
        <v>-0.69340109442302789</v>
      </c>
      <c r="G66" s="28">
        <v>0</v>
      </c>
      <c r="H66" s="21">
        <f t="shared" si="9"/>
        <v>20005.830000000002</v>
      </c>
      <c r="I66" s="28">
        <v>0</v>
      </c>
      <c r="J66" s="21">
        <f t="shared" si="10"/>
        <v>20005.830000000002</v>
      </c>
      <c r="K66" s="28">
        <v>0</v>
      </c>
      <c r="L66" s="21">
        <f t="shared" si="11"/>
        <v>20005.830000000002</v>
      </c>
      <c r="M66" s="63"/>
      <c r="N66" s="63"/>
    </row>
    <row r="67" spans="1:14" x14ac:dyDescent="0.35">
      <c r="A67" s="63" t="s">
        <v>22</v>
      </c>
      <c r="B67" s="20" t="s">
        <v>105</v>
      </c>
      <c r="C67" s="20" t="s">
        <v>118</v>
      </c>
      <c r="D67" s="21">
        <v>38029.879999999997</v>
      </c>
      <c r="E67" s="21">
        <v>34403.22</v>
      </c>
      <c r="F67" s="27">
        <f t="shared" si="8"/>
        <v>-9.5363435277734165E-2</v>
      </c>
      <c r="G67" s="28">
        <v>0</v>
      </c>
      <c r="H67" s="21">
        <f t="shared" si="9"/>
        <v>34403.22</v>
      </c>
      <c r="I67" s="28">
        <v>0</v>
      </c>
      <c r="J67" s="21">
        <f t="shared" si="10"/>
        <v>34403.22</v>
      </c>
      <c r="K67" s="28">
        <v>0</v>
      </c>
      <c r="L67" s="21">
        <f t="shared" si="11"/>
        <v>34403.22</v>
      </c>
      <c r="M67" s="63"/>
      <c r="N67" s="63"/>
    </row>
    <row r="68" spans="1:14" x14ac:dyDescent="0.35">
      <c r="A68" s="63" t="s">
        <v>23</v>
      </c>
      <c r="B68" s="20" t="s">
        <v>105</v>
      </c>
      <c r="C68" s="20" t="s">
        <v>119</v>
      </c>
      <c r="D68" s="21">
        <v>0</v>
      </c>
      <c r="E68" s="21">
        <v>0</v>
      </c>
      <c r="F68" s="27">
        <f t="shared" si="8"/>
        <v>0</v>
      </c>
      <c r="G68" s="28">
        <v>0</v>
      </c>
      <c r="H68" s="21">
        <f t="shared" si="9"/>
        <v>0</v>
      </c>
      <c r="I68" s="28">
        <v>0</v>
      </c>
      <c r="J68" s="21">
        <f t="shared" si="10"/>
        <v>0</v>
      </c>
      <c r="K68" s="28">
        <v>0</v>
      </c>
      <c r="L68" s="21">
        <f t="shared" si="11"/>
        <v>0</v>
      </c>
      <c r="M68" s="63"/>
      <c r="N68" s="63"/>
    </row>
    <row r="69" spans="1:14" x14ac:dyDescent="0.35">
      <c r="A69" s="63" t="s">
        <v>24</v>
      </c>
      <c r="B69" s="20" t="s">
        <v>105</v>
      </c>
      <c r="C69" s="20" t="s">
        <v>120</v>
      </c>
      <c r="D69" s="21">
        <v>0</v>
      </c>
      <c r="E69" s="21">
        <v>0</v>
      </c>
      <c r="F69" s="27">
        <f t="shared" si="8"/>
        <v>0</v>
      </c>
      <c r="G69" s="28">
        <v>0</v>
      </c>
      <c r="H69" s="21">
        <f t="shared" si="9"/>
        <v>0</v>
      </c>
      <c r="I69" s="28">
        <v>0</v>
      </c>
      <c r="J69" s="21">
        <f t="shared" si="10"/>
        <v>0</v>
      </c>
      <c r="K69" s="28">
        <v>0</v>
      </c>
      <c r="L69" s="21">
        <f t="shared" si="11"/>
        <v>0</v>
      </c>
      <c r="M69" s="63"/>
      <c r="N69" s="63"/>
    </row>
    <row r="70" spans="1:14" x14ac:dyDescent="0.35">
      <c r="A70" s="63" t="s">
        <v>25</v>
      </c>
      <c r="B70" s="20" t="s">
        <v>105</v>
      </c>
      <c r="C70" s="20" t="s">
        <v>121</v>
      </c>
      <c r="D70" s="21">
        <v>213945.29</v>
      </c>
      <c r="E70" s="21">
        <v>140831</v>
      </c>
      <c r="F70" s="27">
        <f t="shared" si="8"/>
        <v>-0.34174292876463885</v>
      </c>
      <c r="G70" s="28">
        <v>0</v>
      </c>
      <c r="H70" s="21">
        <f t="shared" si="9"/>
        <v>140831</v>
      </c>
      <c r="I70" s="28">
        <v>0</v>
      </c>
      <c r="J70" s="21">
        <f t="shared" si="10"/>
        <v>140831</v>
      </c>
      <c r="K70" s="28">
        <v>0</v>
      </c>
      <c r="L70" s="21">
        <f t="shared" si="11"/>
        <v>140831</v>
      </c>
      <c r="M70" s="63"/>
      <c r="N70" s="63"/>
    </row>
    <row r="71" spans="1:14" x14ac:dyDescent="0.35">
      <c r="A71" s="63" t="s">
        <v>26</v>
      </c>
      <c r="B71" s="20" t="s">
        <v>105</v>
      </c>
      <c r="C71" s="20" t="s">
        <v>122</v>
      </c>
      <c r="D71" s="21">
        <v>0</v>
      </c>
      <c r="E71" s="21">
        <v>0</v>
      </c>
      <c r="F71" s="27">
        <f t="shared" si="8"/>
        <v>0</v>
      </c>
      <c r="G71" s="28">
        <v>0</v>
      </c>
      <c r="H71" s="21">
        <f t="shared" si="9"/>
        <v>0</v>
      </c>
      <c r="I71" s="28">
        <v>0</v>
      </c>
      <c r="J71" s="21">
        <f t="shared" si="10"/>
        <v>0</v>
      </c>
      <c r="K71" s="28">
        <v>0</v>
      </c>
      <c r="L71" s="21">
        <f t="shared" si="11"/>
        <v>0</v>
      </c>
      <c r="M71" s="63"/>
      <c r="N71" s="63"/>
    </row>
    <row r="72" spans="1:14" x14ac:dyDescent="0.35">
      <c r="A72" s="63" t="s">
        <v>27</v>
      </c>
      <c r="B72" s="20" t="s">
        <v>105</v>
      </c>
      <c r="C72" s="20" t="s">
        <v>123</v>
      </c>
      <c r="D72" s="21">
        <v>0</v>
      </c>
      <c r="E72" s="21">
        <v>0</v>
      </c>
      <c r="F72" s="27">
        <f t="shared" si="8"/>
        <v>0</v>
      </c>
      <c r="G72" s="28">
        <v>0</v>
      </c>
      <c r="H72" s="21">
        <f t="shared" si="9"/>
        <v>0</v>
      </c>
      <c r="I72" s="28">
        <v>0</v>
      </c>
      <c r="J72" s="21">
        <f t="shared" si="10"/>
        <v>0</v>
      </c>
      <c r="K72" s="28">
        <v>0</v>
      </c>
      <c r="L72" s="21">
        <f t="shared" si="11"/>
        <v>0</v>
      </c>
      <c r="M72" s="63"/>
      <c r="N72" s="63"/>
    </row>
    <row r="73" spans="1:14" x14ac:dyDescent="0.35">
      <c r="A73" s="63" t="s">
        <v>28</v>
      </c>
      <c r="B73" s="20" t="s">
        <v>105</v>
      </c>
      <c r="C73" s="20" t="s">
        <v>124</v>
      </c>
      <c r="D73" s="21">
        <v>0</v>
      </c>
      <c r="E73" s="21">
        <v>0</v>
      </c>
      <c r="F73" s="27">
        <f t="shared" si="8"/>
        <v>0</v>
      </c>
      <c r="G73" s="28">
        <v>0</v>
      </c>
      <c r="H73" s="21">
        <f t="shared" si="9"/>
        <v>0</v>
      </c>
      <c r="I73" s="28">
        <v>0</v>
      </c>
      <c r="J73" s="21">
        <f t="shared" si="10"/>
        <v>0</v>
      </c>
      <c r="K73" s="28">
        <v>0</v>
      </c>
      <c r="L73" s="21">
        <f t="shared" si="11"/>
        <v>0</v>
      </c>
      <c r="M73" s="63"/>
      <c r="N73" s="63"/>
    </row>
    <row r="74" spans="1:14" x14ac:dyDescent="0.35">
      <c r="A74" s="63" t="s">
        <v>8</v>
      </c>
      <c r="B74" s="20" t="s">
        <v>105</v>
      </c>
      <c r="C74" s="20" t="s">
        <v>125</v>
      </c>
      <c r="D74" s="21">
        <v>0</v>
      </c>
      <c r="E74" s="21">
        <v>0</v>
      </c>
      <c r="F74" s="27">
        <f t="shared" si="8"/>
        <v>0</v>
      </c>
      <c r="G74" s="28">
        <v>0</v>
      </c>
      <c r="H74" s="21">
        <f t="shared" si="9"/>
        <v>0</v>
      </c>
      <c r="I74" s="28">
        <v>0</v>
      </c>
      <c r="J74" s="21">
        <f t="shared" si="10"/>
        <v>0</v>
      </c>
      <c r="K74" s="28">
        <v>0</v>
      </c>
      <c r="L74" s="21">
        <f t="shared" si="11"/>
        <v>0</v>
      </c>
      <c r="M74" s="63"/>
      <c r="N74" s="63"/>
    </row>
    <row r="75" spans="1:14" x14ac:dyDescent="0.35">
      <c r="A75" s="63" t="s">
        <v>29</v>
      </c>
      <c r="B75" s="20" t="s">
        <v>105</v>
      </c>
      <c r="C75" s="20" t="s">
        <v>126</v>
      </c>
      <c r="D75" s="21">
        <v>0</v>
      </c>
      <c r="E75" s="21">
        <v>0</v>
      </c>
      <c r="F75" s="27">
        <f t="shared" si="8"/>
        <v>0</v>
      </c>
      <c r="G75" s="28">
        <v>0</v>
      </c>
      <c r="H75" s="21">
        <f t="shared" si="9"/>
        <v>0</v>
      </c>
      <c r="I75" s="28">
        <v>0</v>
      </c>
      <c r="J75" s="21">
        <f t="shared" si="10"/>
        <v>0</v>
      </c>
      <c r="K75" s="28">
        <v>0</v>
      </c>
      <c r="L75" s="21">
        <f t="shared" si="11"/>
        <v>0</v>
      </c>
      <c r="M75" s="63"/>
      <c r="N75" s="63"/>
    </row>
    <row r="76" spans="1:14" x14ac:dyDescent="0.35">
      <c r="A76" s="63" t="s">
        <v>30</v>
      </c>
      <c r="B76" s="20" t="s">
        <v>105</v>
      </c>
      <c r="C76" s="20" t="s">
        <v>127</v>
      </c>
      <c r="D76" s="21">
        <v>0</v>
      </c>
      <c r="E76" s="21">
        <v>0</v>
      </c>
      <c r="F76" s="27">
        <f t="shared" si="8"/>
        <v>0</v>
      </c>
      <c r="G76" s="28">
        <v>0</v>
      </c>
      <c r="H76" s="21">
        <f t="shared" si="9"/>
        <v>0</v>
      </c>
      <c r="I76" s="28">
        <v>0</v>
      </c>
      <c r="J76" s="21">
        <f t="shared" si="10"/>
        <v>0</v>
      </c>
      <c r="K76" s="28">
        <v>0</v>
      </c>
      <c r="L76" s="21">
        <f t="shared" si="11"/>
        <v>0</v>
      </c>
      <c r="M76" s="63"/>
      <c r="N76" s="63"/>
    </row>
    <row r="77" spans="1:14" x14ac:dyDescent="0.35">
      <c r="A77" s="63" t="s">
        <v>31</v>
      </c>
      <c r="B77" s="20" t="s">
        <v>105</v>
      </c>
      <c r="C77" s="20" t="s">
        <v>128</v>
      </c>
      <c r="D77" s="21">
        <v>0</v>
      </c>
      <c r="E77" s="21">
        <v>0</v>
      </c>
      <c r="F77" s="27">
        <f t="shared" si="8"/>
        <v>0</v>
      </c>
      <c r="G77" s="28">
        <v>0</v>
      </c>
      <c r="H77" s="21">
        <f t="shared" si="9"/>
        <v>0</v>
      </c>
      <c r="I77" s="28">
        <v>0</v>
      </c>
      <c r="J77" s="21">
        <f t="shared" si="10"/>
        <v>0</v>
      </c>
      <c r="K77" s="28">
        <v>0</v>
      </c>
      <c r="L77" s="21">
        <f t="shared" si="11"/>
        <v>0</v>
      </c>
      <c r="M77" s="63"/>
      <c r="N77" s="63"/>
    </row>
    <row r="78" spans="1:14" x14ac:dyDescent="0.35">
      <c r="A78" s="63" t="s">
        <v>4</v>
      </c>
      <c r="B78" s="20" t="s">
        <v>105</v>
      </c>
      <c r="C78" s="20" t="s">
        <v>129</v>
      </c>
      <c r="D78" s="21">
        <v>156157.75</v>
      </c>
      <c r="E78" s="21">
        <v>408675.58</v>
      </c>
      <c r="F78" s="27">
        <f t="shared" si="8"/>
        <v>1.6170688294368998</v>
      </c>
      <c r="G78" s="28">
        <v>0</v>
      </c>
      <c r="H78" s="21">
        <f t="shared" si="9"/>
        <v>408675.58</v>
      </c>
      <c r="I78" s="28">
        <v>0</v>
      </c>
      <c r="J78" s="21">
        <f t="shared" si="10"/>
        <v>408675.58</v>
      </c>
      <c r="K78" s="28">
        <v>0</v>
      </c>
      <c r="L78" s="21">
        <f t="shared" si="11"/>
        <v>408675.58</v>
      </c>
      <c r="M78" s="63"/>
      <c r="N78" s="63"/>
    </row>
    <row r="79" spans="1:14" x14ac:dyDescent="0.35">
      <c r="A79" s="63" t="s">
        <v>9</v>
      </c>
      <c r="B79" s="20" t="s">
        <v>105</v>
      </c>
      <c r="C79" s="20" t="s">
        <v>130</v>
      </c>
      <c r="D79" s="21">
        <v>287927.87</v>
      </c>
      <c r="E79" s="21">
        <v>540000</v>
      </c>
      <c r="F79" s="27">
        <f t="shared" si="8"/>
        <v>0.87546971399468898</v>
      </c>
      <c r="G79" s="28">
        <v>0</v>
      </c>
      <c r="H79" s="21">
        <f t="shared" si="9"/>
        <v>540000</v>
      </c>
      <c r="I79" s="28">
        <v>0</v>
      </c>
      <c r="J79" s="21">
        <f t="shared" si="10"/>
        <v>540000</v>
      </c>
      <c r="K79" s="28">
        <v>0</v>
      </c>
      <c r="L79" s="21">
        <f t="shared" si="11"/>
        <v>540000</v>
      </c>
      <c r="M79" s="63"/>
      <c r="N79" s="63"/>
    </row>
    <row r="80" spans="1:14" x14ac:dyDescent="0.35">
      <c r="A80" s="63"/>
      <c r="B80" s="24"/>
      <c r="C80" s="24"/>
      <c r="D80" s="25">
        <f>SUM(D57:D79)</f>
        <v>5219886.74</v>
      </c>
      <c r="E80" s="25">
        <f>SUM(E57:E79)</f>
        <v>6910581.2800000003</v>
      </c>
      <c r="F80" s="26">
        <f t="shared" si="8"/>
        <v>0.32389487056188493</v>
      </c>
      <c r="G80" s="26">
        <f>IF(E80=0,0,H80/E80-1)</f>
        <v>0</v>
      </c>
      <c r="H80" s="25">
        <f>SUM(H57:H79)</f>
        <v>6910581.2800000003</v>
      </c>
      <c r="I80" s="26">
        <f>J80/H80-1</f>
        <v>0</v>
      </c>
      <c r="J80" s="25">
        <f>SUM(J57:J79)</f>
        <v>6910581.2800000003</v>
      </c>
      <c r="K80" s="26">
        <f>L80/J80-1</f>
        <v>0</v>
      </c>
      <c r="L80" s="25">
        <f>SUM(L57:L79)</f>
        <v>6910581.2800000003</v>
      </c>
      <c r="M80" s="63"/>
      <c r="N80" s="63"/>
    </row>
    <row r="81" spans="1:14" x14ac:dyDescent="0.3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</row>
    <row r="82" spans="1:14" x14ac:dyDescent="0.35">
      <c r="A82" s="63"/>
      <c r="B82" s="22" t="s">
        <v>78</v>
      </c>
      <c r="C82" s="22" t="s">
        <v>79</v>
      </c>
      <c r="D82" s="22" t="s">
        <v>80</v>
      </c>
      <c r="E82" s="22" t="s">
        <v>81</v>
      </c>
      <c r="F82" s="22" t="s">
        <v>82</v>
      </c>
      <c r="G82" s="22" t="s">
        <v>107</v>
      </c>
      <c r="H82" s="22" t="s">
        <v>83</v>
      </c>
      <c r="I82" s="22" t="s">
        <v>107</v>
      </c>
      <c r="J82" s="22" t="s">
        <v>83</v>
      </c>
      <c r="K82" s="22" t="s">
        <v>107</v>
      </c>
      <c r="L82" s="22" t="s">
        <v>83</v>
      </c>
      <c r="M82" s="63"/>
      <c r="N82" s="63"/>
    </row>
    <row r="83" spans="1:14" x14ac:dyDescent="0.35">
      <c r="A83" s="63"/>
      <c r="B83" s="23"/>
      <c r="C83" s="23"/>
      <c r="D83" s="22" t="s">
        <v>84</v>
      </c>
      <c r="E83" s="22" t="s">
        <v>85</v>
      </c>
      <c r="F83" s="22" t="s">
        <v>86</v>
      </c>
      <c r="G83" s="22"/>
      <c r="H83" s="22" t="s">
        <v>87</v>
      </c>
      <c r="I83" s="22"/>
      <c r="J83" s="22" t="s">
        <v>88</v>
      </c>
      <c r="K83" s="22"/>
      <c r="L83" s="22" t="s">
        <v>89</v>
      </c>
      <c r="M83" s="63"/>
      <c r="N83" s="63"/>
    </row>
    <row r="84" spans="1:14" x14ac:dyDescent="0.35">
      <c r="A84" s="63" t="s">
        <v>12</v>
      </c>
      <c r="B84" s="20" t="s">
        <v>106</v>
      </c>
      <c r="C84" s="20" t="s">
        <v>108</v>
      </c>
      <c r="D84" s="21">
        <v>435012.93</v>
      </c>
      <c r="E84" s="21">
        <v>360001.33</v>
      </c>
      <c r="F84" s="27">
        <f t="shared" ref="F84:F107" si="12">IF(D84=0,0,E84/D84-1)</f>
        <v>-0.17243533427845459</v>
      </c>
      <c r="G84" s="28">
        <v>0</v>
      </c>
      <c r="H84" s="21">
        <f t="shared" ref="H84:H106" si="13">IF(ISBLANK($G84),($E84*(1+$F84)),($E84*(1+$G84)))</f>
        <v>360001.33</v>
      </c>
      <c r="I84" s="28">
        <v>0</v>
      </c>
      <c r="J84" s="21">
        <f t="shared" ref="J84:J106" si="14">IF(ISBLANK($I84),($H84*(1+$F84)),($H84*(1+$I84)))</f>
        <v>360001.33</v>
      </c>
      <c r="K84" s="28">
        <v>0</v>
      </c>
      <c r="L84" s="21">
        <f t="shared" ref="L84:L106" si="15">IF(ISBLANK($K84),($J84*(1+$F84)),($J84*(1+$K84)))</f>
        <v>360001.33</v>
      </c>
      <c r="M84" s="63"/>
      <c r="N84" s="63"/>
    </row>
    <row r="85" spans="1:14" x14ac:dyDescent="0.35">
      <c r="A85" s="63" t="s">
        <v>13</v>
      </c>
      <c r="B85" s="20" t="s">
        <v>106</v>
      </c>
      <c r="C85" s="20" t="s">
        <v>109</v>
      </c>
      <c r="D85" s="21">
        <v>0</v>
      </c>
      <c r="E85" s="21">
        <v>0</v>
      </c>
      <c r="F85" s="27">
        <f t="shared" si="12"/>
        <v>0</v>
      </c>
      <c r="G85" s="28">
        <v>0</v>
      </c>
      <c r="H85" s="21">
        <f t="shared" si="13"/>
        <v>0</v>
      </c>
      <c r="I85" s="28">
        <v>0</v>
      </c>
      <c r="J85" s="21">
        <f t="shared" si="14"/>
        <v>0</v>
      </c>
      <c r="K85" s="28">
        <v>0</v>
      </c>
      <c r="L85" s="21">
        <f t="shared" si="15"/>
        <v>0</v>
      </c>
      <c r="M85" s="63"/>
      <c r="N85" s="63"/>
    </row>
    <row r="86" spans="1:14" x14ac:dyDescent="0.35">
      <c r="A86" s="63" t="s">
        <v>14</v>
      </c>
      <c r="B86" s="20" t="s">
        <v>106</v>
      </c>
      <c r="C86" s="20" t="s">
        <v>110</v>
      </c>
      <c r="D86" s="21">
        <v>1430.3</v>
      </c>
      <c r="E86" s="21">
        <v>-3.6</v>
      </c>
      <c r="F86" s="27">
        <f t="shared" si="12"/>
        <v>-1.0025169544850732</v>
      </c>
      <c r="G86" s="28">
        <v>0</v>
      </c>
      <c r="H86" s="21">
        <f t="shared" si="13"/>
        <v>-3.6</v>
      </c>
      <c r="I86" s="28">
        <v>0</v>
      </c>
      <c r="J86" s="21">
        <f t="shared" si="14"/>
        <v>-3.6</v>
      </c>
      <c r="K86" s="28">
        <v>0</v>
      </c>
      <c r="L86" s="21">
        <f t="shared" si="15"/>
        <v>-3.6</v>
      </c>
      <c r="M86" s="63"/>
      <c r="N86" s="63"/>
    </row>
    <row r="87" spans="1:14" x14ac:dyDescent="0.35">
      <c r="A87" s="63" t="s">
        <v>15</v>
      </c>
      <c r="B87" s="20" t="s">
        <v>106</v>
      </c>
      <c r="C87" s="20" t="s">
        <v>111</v>
      </c>
      <c r="D87" s="21">
        <v>407.68</v>
      </c>
      <c r="E87" s="21">
        <v>3.34</v>
      </c>
      <c r="F87" s="27">
        <f t="shared" si="12"/>
        <v>-0.99180729984301408</v>
      </c>
      <c r="G87" s="28">
        <v>0</v>
      </c>
      <c r="H87" s="21">
        <f t="shared" si="13"/>
        <v>3.34</v>
      </c>
      <c r="I87" s="28">
        <v>0</v>
      </c>
      <c r="J87" s="21">
        <f t="shared" si="14"/>
        <v>3.34</v>
      </c>
      <c r="K87" s="28">
        <v>0</v>
      </c>
      <c r="L87" s="21">
        <f t="shared" si="15"/>
        <v>3.34</v>
      </c>
      <c r="M87" s="63"/>
      <c r="N87" s="63"/>
    </row>
    <row r="88" spans="1:14" x14ac:dyDescent="0.35">
      <c r="A88" s="63" t="s">
        <v>16</v>
      </c>
      <c r="B88" s="20" t="s">
        <v>106</v>
      </c>
      <c r="C88" s="20" t="s">
        <v>112</v>
      </c>
      <c r="D88" s="21">
        <v>0</v>
      </c>
      <c r="E88" s="21">
        <v>0</v>
      </c>
      <c r="F88" s="27">
        <f t="shared" si="12"/>
        <v>0</v>
      </c>
      <c r="G88" s="28">
        <v>0</v>
      </c>
      <c r="H88" s="21">
        <f t="shared" si="13"/>
        <v>0</v>
      </c>
      <c r="I88" s="28">
        <v>0</v>
      </c>
      <c r="J88" s="21">
        <f t="shared" si="14"/>
        <v>0</v>
      </c>
      <c r="K88" s="28">
        <v>0</v>
      </c>
      <c r="L88" s="21">
        <f t="shared" si="15"/>
        <v>0</v>
      </c>
      <c r="M88" s="63"/>
      <c r="N88" s="63"/>
    </row>
    <row r="89" spans="1:14" x14ac:dyDescent="0.35">
      <c r="A89" s="63" t="s">
        <v>17</v>
      </c>
      <c r="B89" s="20" t="s">
        <v>106</v>
      </c>
      <c r="C89" s="20" t="s">
        <v>113</v>
      </c>
      <c r="D89" s="21">
        <v>255222.94</v>
      </c>
      <c r="E89" s="21">
        <v>312764.14</v>
      </c>
      <c r="F89" s="27">
        <f t="shared" si="12"/>
        <v>0.22545465544750809</v>
      </c>
      <c r="G89" s="28">
        <v>0</v>
      </c>
      <c r="H89" s="21">
        <f t="shared" si="13"/>
        <v>312764.14</v>
      </c>
      <c r="I89" s="28">
        <v>0</v>
      </c>
      <c r="J89" s="21">
        <f t="shared" si="14"/>
        <v>312764.14</v>
      </c>
      <c r="K89" s="28">
        <v>0</v>
      </c>
      <c r="L89" s="21">
        <f t="shared" si="15"/>
        <v>312764.14</v>
      </c>
      <c r="M89" s="63"/>
      <c r="N89" s="63"/>
    </row>
    <row r="90" spans="1:14" x14ac:dyDescent="0.35">
      <c r="A90" s="63" t="s">
        <v>18</v>
      </c>
      <c r="B90" s="20" t="s">
        <v>106</v>
      </c>
      <c r="C90" s="20" t="s">
        <v>114</v>
      </c>
      <c r="D90" s="21">
        <v>21852.62</v>
      </c>
      <c r="E90" s="21">
        <v>29999.69</v>
      </c>
      <c r="F90" s="27">
        <f t="shared" si="12"/>
        <v>0.37281891141657164</v>
      </c>
      <c r="G90" s="28">
        <v>0</v>
      </c>
      <c r="H90" s="21">
        <f t="shared" si="13"/>
        <v>29999.69</v>
      </c>
      <c r="I90" s="28">
        <v>0</v>
      </c>
      <c r="J90" s="21">
        <f t="shared" si="14"/>
        <v>29999.69</v>
      </c>
      <c r="K90" s="28">
        <v>0</v>
      </c>
      <c r="L90" s="21">
        <f t="shared" si="15"/>
        <v>29999.69</v>
      </c>
      <c r="M90" s="63"/>
      <c r="N90" s="63"/>
    </row>
    <row r="91" spans="1:14" x14ac:dyDescent="0.35">
      <c r="A91" s="63" t="s">
        <v>19</v>
      </c>
      <c r="B91" s="20" t="s">
        <v>106</v>
      </c>
      <c r="C91" s="20" t="s">
        <v>115</v>
      </c>
      <c r="D91" s="21">
        <v>0</v>
      </c>
      <c r="E91" s="21">
        <v>0</v>
      </c>
      <c r="F91" s="27">
        <f t="shared" si="12"/>
        <v>0</v>
      </c>
      <c r="G91" s="28">
        <v>0</v>
      </c>
      <c r="H91" s="21">
        <f t="shared" si="13"/>
        <v>0</v>
      </c>
      <c r="I91" s="28">
        <v>0</v>
      </c>
      <c r="J91" s="21">
        <f t="shared" si="14"/>
        <v>0</v>
      </c>
      <c r="K91" s="28">
        <v>0</v>
      </c>
      <c r="L91" s="21">
        <f t="shared" si="15"/>
        <v>0</v>
      </c>
      <c r="M91" s="63"/>
      <c r="N91" s="63"/>
    </row>
    <row r="92" spans="1:14" x14ac:dyDescent="0.35">
      <c r="A92" s="63" t="s">
        <v>20</v>
      </c>
      <c r="B92" s="20" t="s">
        <v>106</v>
      </c>
      <c r="C92" s="20" t="s">
        <v>116</v>
      </c>
      <c r="D92" s="21">
        <v>0</v>
      </c>
      <c r="E92" s="21">
        <v>0</v>
      </c>
      <c r="F92" s="27">
        <f t="shared" si="12"/>
        <v>0</v>
      </c>
      <c r="G92" s="28">
        <v>0</v>
      </c>
      <c r="H92" s="21">
        <f t="shared" si="13"/>
        <v>0</v>
      </c>
      <c r="I92" s="28">
        <v>0</v>
      </c>
      <c r="J92" s="21">
        <f t="shared" si="14"/>
        <v>0</v>
      </c>
      <c r="K92" s="28">
        <v>0</v>
      </c>
      <c r="L92" s="21">
        <f t="shared" si="15"/>
        <v>0</v>
      </c>
      <c r="M92" s="63"/>
      <c r="N92" s="63"/>
    </row>
    <row r="93" spans="1:14" x14ac:dyDescent="0.35">
      <c r="A93" s="63" t="s">
        <v>21</v>
      </c>
      <c r="B93" s="20" t="s">
        <v>106</v>
      </c>
      <c r="C93" s="20" t="s">
        <v>117</v>
      </c>
      <c r="D93" s="21">
        <v>126881.96</v>
      </c>
      <c r="E93" s="21">
        <v>0</v>
      </c>
      <c r="F93" s="27">
        <f t="shared" si="12"/>
        <v>-1</v>
      </c>
      <c r="G93" s="28">
        <v>0</v>
      </c>
      <c r="H93" s="21">
        <f t="shared" si="13"/>
        <v>0</v>
      </c>
      <c r="I93" s="28">
        <v>0</v>
      </c>
      <c r="J93" s="21">
        <f t="shared" si="14"/>
        <v>0</v>
      </c>
      <c r="K93" s="28">
        <v>0</v>
      </c>
      <c r="L93" s="21">
        <f t="shared" si="15"/>
        <v>0</v>
      </c>
      <c r="M93" s="63"/>
      <c r="N93" s="63"/>
    </row>
    <row r="94" spans="1:14" x14ac:dyDescent="0.35">
      <c r="A94" s="63" t="s">
        <v>22</v>
      </c>
      <c r="B94" s="20" t="s">
        <v>106</v>
      </c>
      <c r="C94" s="20" t="s">
        <v>118</v>
      </c>
      <c r="D94" s="21">
        <v>142.97999999999999</v>
      </c>
      <c r="E94" s="21">
        <v>5005.9799999999996</v>
      </c>
      <c r="F94" s="27">
        <f t="shared" si="12"/>
        <v>34.011749895090219</v>
      </c>
      <c r="G94" s="28">
        <v>0</v>
      </c>
      <c r="H94" s="21">
        <f t="shared" si="13"/>
        <v>5005.9799999999996</v>
      </c>
      <c r="I94" s="28">
        <v>0</v>
      </c>
      <c r="J94" s="21">
        <f t="shared" si="14"/>
        <v>5005.9799999999996</v>
      </c>
      <c r="K94" s="28">
        <v>0</v>
      </c>
      <c r="L94" s="21">
        <f t="shared" si="15"/>
        <v>5005.9799999999996</v>
      </c>
      <c r="M94" s="63"/>
      <c r="N94" s="63"/>
    </row>
    <row r="95" spans="1:14" x14ac:dyDescent="0.35">
      <c r="A95" s="63" t="s">
        <v>23</v>
      </c>
      <c r="B95" s="20" t="s">
        <v>106</v>
      </c>
      <c r="C95" s="20" t="s">
        <v>119</v>
      </c>
      <c r="D95" s="21">
        <v>0</v>
      </c>
      <c r="E95" s="21">
        <v>0</v>
      </c>
      <c r="F95" s="27">
        <f t="shared" si="12"/>
        <v>0</v>
      </c>
      <c r="G95" s="28">
        <v>0</v>
      </c>
      <c r="H95" s="21">
        <f t="shared" si="13"/>
        <v>0</v>
      </c>
      <c r="I95" s="28">
        <v>0</v>
      </c>
      <c r="J95" s="21">
        <f t="shared" si="14"/>
        <v>0</v>
      </c>
      <c r="K95" s="28">
        <v>0</v>
      </c>
      <c r="L95" s="21">
        <f t="shared" si="15"/>
        <v>0</v>
      </c>
      <c r="M95" s="63"/>
      <c r="N95" s="63"/>
    </row>
    <row r="96" spans="1:14" x14ac:dyDescent="0.35">
      <c r="A96" s="63" t="s">
        <v>24</v>
      </c>
      <c r="B96" s="20" t="s">
        <v>106</v>
      </c>
      <c r="C96" s="20" t="s">
        <v>120</v>
      </c>
      <c r="D96" s="21">
        <v>0</v>
      </c>
      <c r="E96" s="21">
        <v>0</v>
      </c>
      <c r="F96" s="27">
        <f t="shared" si="12"/>
        <v>0</v>
      </c>
      <c r="G96" s="28">
        <v>0</v>
      </c>
      <c r="H96" s="21">
        <f t="shared" si="13"/>
        <v>0</v>
      </c>
      <c r="I96" s="28">
        <v>0</v>
      </c>
      <c r="J96" s="21">
        <f t="shared" si="14"/>
        <v>0</v>
      </c>
      <c r="K96" s="28">
        <v>0</v>
      </c>
      <c r="L96" s="21">
        <f t="shared" si="15"/>
        <v>0</v>
      </c>
      <c r="M96" s="63"/>
      <c r="N96" s="63"/>
    </row>
    <row r="97" spans="1:14" x14ac:dyDescent="0.35">
      <c r="A97" s="63" t="s">
        <v>25</v>
      </c>
      <c r="B97" s="20" t="s">
        <v>106</v>
      </c>
      <c r="C97" s="20" t="s">
        <v>121</v>
      </c>
      <c r="D97" s="21">
        <v>43500</v>
      </c>
      <c r="E97" s="21">
        <v>45000</v>
      </c>
      <c r="F97" s="27">
        <f t="shared" si="12"/>
        <v>3.4482758620689724E-2</v>
      </c>
      <c r="G97" s="28">
        <v>0</v>
      </c>
      <c r="H97" s="21">
        <f t="shared" si="13"/>
        <v>45000</v>
      </c>
      <c r="I97" s="28">
        <v>0</v>
      </c>
      <c r="J97" s="21">
        <f t="shared" si="14"/>
        <v>45000</v>
      </c>
      <c r="K97" s="28">
        <v>0</v>
      </c>
      <c r="L97" s="21">
        <f t="shared" si="15"/>
        <v>45000</v>
      </c>
      <c r="M97" s="63"/>
      <c r="N97" s="63"/>
    </row>
    <row r="98" spans="1:14" x14ac:dyDescent="0.35">
      <c r="A98" s="63" t="s">
        <v>26</v>
      </c>
      <c r="B98" s="20" t="s">
        <v>106</v>
      </c>
      <c r="C98" s="20" t="s">
        <v>122</v>
      </c>
      <c r="D98" s="21">
        <v>0</v>
      </c>
      <c r="E98" s="21">
        <v>0</v>
      </c>
      <c r="F98" s="27">
        <f t="shared" si="12"/>
        <v>0</v>
      </c>
      <c r="G98" s="28">
        <v>0</v>
      </c>
      <c r="H98" s="21">
        <f t="shared" si="13"/>
        <v>0</v>
      </c>
      <c r="I98" s="28">
        <v>0</v>
      </c>
      <c r="J98" s="21">
        <f t="shared" si="14"/>
        <v>0</v>
      </c>
      <c r="K98" s="28">
        <v>0</v>
      </c>
      <c r="L98" s="21">
        <f t="shared" si="15"/>
        <v>0</v>
      </c>
      <c r="M98" s="63"/>
      <c r="N98" s="63"/>
    </row>
    <row r="99" spans="1:14" x14ac:dyDescent="0.35">
      <c r="A99" s="63" t="s">
        <v>27</v>
      </c>
      <c r="B99" s="20" t="s">
        <v>106</v>
      </c>
      <c r="C99" s="20" t="s">
        <v>123</v>
      </c>
      <c r="D99" s="21">
        <v>0</v>
      </c>
      <c r="E99" s="21">
        <v>0</v>
      </c>
      <c r="F99" s="27">
        <f t="shared" si="12"/>
        <v>0</v>
      </c>
      <c r="G99" s="28">
        <v>0</v>
      </c>
      <c r="H99" s="21">
        <f t="shared" si="13"/>
        <v>0</v>
      </c>
      <c r="I99" s="28">
        <v>0</v>
      </c>
      <c r="J99" s="21">
        <f t="shared" si="14"/>
        <v>0</v>
      </c>
      <c r="K99" s="28">
        <v>0</v>
      </c>
      <c r="L99" s="21">
        <f t="shared" si="15"/>
        <v>0</v>
      </c>
      <c r="M99" s="63"/>
      <c r="N99" s="63"/>
    </row>
    <row r="100" spans="1:14" x14ac:dyDescent="0.35">
      <c r="A100" s="63" t="s">
        <v>28</v>
      </c>
      <c r="B100" s="20" t="s">
        <v>106</v>
      </c>
      <c r="C100" s="20" t="s">
        <v>124</v>
      </c>
      <c r="D100" s="21">
        <v>0</v>
      </c>
      <c r="E100" s="21">
        <v>0</v>
      </c>
      <c r="F100" s="27">
        <f t="shared" si="12"/>
        <v>0</v>
      </c>
      <c r="G100" s="28">
        <v>0</v>
      </c>
      <c r="H100" s="21">
        <f t="shared" si="13"/>
        <v>0</v>
      </c>
      <c r="I100" s="28">
        <v>0</v>
      </c>
      <c r="J100" s="21">
        <f t="shared" si="14"/>
        <v>0</v>
      </c>
      <c r="K100" s="28">
        <v>0</v>
      </c>
      <c r="L100" s="21">
        <f t="shared" si="15"/>
        <v>0</v>
      </c>
      <c r="M100" s="63"/>
      <c r="N100" s="63"/>
    </row>
    <row r="101" spans="1:14" x14ac:dyDescent="0.35">
      <c r="A101" s="63" t="s">
        <v>8</v>
      </c>
      <c r="B101" s="20" t="s">
        <v>106</v>
      </c>
      <c r="C101" s="20" t="s">
        <v>125</v>
      </c>
      <c r="D101" s="21">
        <v>0</v>
      </c>
      <c r="E101" s="21">
        <v>0</v>
      </c>
      <c r="F101" s="27">
        <f t="shared" si="12"/>
        <v>0</v>
      </c>
      <c r="G101" s="28">
        <v>0</v>
      </c>
      <c r="H101" s="21">
        <f t="shared" si="13"/>
        <v>0</v>
      </c>
      <c r="I101" s="28">
        <v>0</v>
      </c>
      <c r="J101" s="21">
        <f t="shared" si="14"/>
        <v>0</v>
      </c>
      <c r="K101" s="28">
        <v>0</v>
      </c>
      <c r="L101" s="21">
        <f t="shared" si="15"/>
        <v>0</v>
      </c>
      <c r="M101" s="63"/>
      <c r="N101" s="63"/>
    </row>
    <row r="102" spans="1:14" x14ac:dyDescent="0.35">
      <c r="A102" s="63" t="s">
        <v>29</v>
      </c>
      <c r="B102" s="20" t="s">
        <v>106</v>
      </c>
      <c r="C102" s="20" t="s">
        <v>126</v>
      </c>
      <c r="D102" s="21">
        <v>0</v>
      </c>
      <c r="E102" s="21">
        <v>0</v>
      </c>
      <c r="F102" s="27">
        <f t="shared" si="12"/>
        <v>0</v>
      </c>
      <c r="G102" s="28">
        <v>0</v>
      </c>
      <c r="H102" s="21">
        <f t="shared" si="13"/>
        <v>0</v>
      </c>
      <c r="I102" s="28">
        <v>0</v>
      </c>
      <c r="J102" s="21">
        <f t="shared" si="14"/>
        <v>0</v>
      </c>
      <c r="K102" s="28">
        <v>0</v>
      </c>
      <c r="L102" s="21">
        <f t="shared" si="15"/>
        <v>0</v>
      </c>
      <c r="M102" s="63"/>
      <c r="N102" s="63"/>
    </row>
    <row r="103" spans="1:14" x14ac:dyDescent="0.35">
      <c r="A103" s="63" t="s">
        <v>30</v>
      </c>
      <c r="B103" s="20" t="s">
        <v>106</v>
      </c>
      <c r="C103" s="20" t="s">
        <v>127</v>
      </c>
      <c r="D103" s="21">
        <v>0</v>
      </c>
      <c r="E103" s="21">
        <v>0</v>
      </c>
      <c r="F103" s="27">
        <f t="shared" si="12"/>
        <v>0</v>
      </c>
      <c r="G103" s="28">
        <v>0</v>
      </c>
      <c r="H103" s="21">
        <f t="shared" si="13"/>
        <v>0</v>
      </c>
      <c r="I103" s="28">
        <v>0</v>
      </c>
      <c r="J103" s="21">
        <f t="shared" si="14"/>
        <v>0</v>
      </c>
      <c r="K103" s="28">
        <v>0</v>
      </c>
      <c r="L103" s="21">
        <f t="shared" si="15"/>
        <v>0</v>
      </c>
      <c r="M103" s="63"/>
      <c r="N103" s="63"/>
    </row>
    <row r="104" spans="1:14" x14ac:dyDescent="0.35">
      <c r="A104" s="63" t="s">
        <v>31</v>
      </c>
      <c r="B104" s="20" t="s">
        <v>106</v>
      </c>
      <c r="C104" s="20" t="s">
        <v>128</v>
      </c>
      <c r="D104" s="21">
        <v>0</v>
      </c>
      <c r="E104" s="21">
        <v>0</v>
      </c>
      <c r="F104" s="27">
        <f t="shared" si="12"/>
        <v>0</v>
      </c>
      <c r="G104" s="28">
        <v>0</v>
      </c>
      <c r="H104" s="21">
        <f t="shared" si="13"/>
        <v>0</v>
      </c>
      <c r="I104" s="28">
        <v>0</v>
      </c>
      <c r="J104" s="21">
        <f t="shared" si="14"/>
        <v>0</v>
      </c>
      <c r="K104" s="28">
        <v>0</v>
      </c>
      <c r="L104" s="21">
        <f t="shared" si="15"/>
        <v>0</v>
      </c>
      <c r="M104" s="63"/>
      <c r="N104" s="63"/>
    </row>
    <row r="105" spans="1:14" x14ac:dyDescent="0.35">
      <c r="A105" s="63" t="s">
        <v>4</v>
      </c>
      <c r="B105" s="20" t="s">
        <v>106</v>
      </c>
      <c r="C105" s="20" t="s">
        <v>129</v>
      </c>
      <c r="D105" s="21">
        <v>0</v>
      </c>
      <c r="E105" s="21">
        <v>0</v>
      </c>
      <c r="F105" s="27">
        <f t="shared" si="12"/>
        <v>0</v>
      </c>
      <c r="G105" s="28">
        <v>0</v>
      </c>
      <c r="H105" s="21">
        <f t="shared" si="13"/>
        <v>0</v>
      </c>
      <c r="I105" s="28">
        <v>0</v>
      </c>
      <c r="J105" s="21">
        <f t="shared" si="14"/>
        <v>0</v>
      </c>
      <c r="K105" s="28">
        <v>0</v>
      </c>
      <c r="L105" s="21">
        <f t="shared" si="15"/>
        <v>0</v>
      </c>
      <c r="M105" s="63"/>
      <c r="N105" s="63"/>
    </row>
    <row r="106" spans="1:14" x14ac:dyDescent="0.35">
      <c r="A106" s="63" t="s">
        <v>9</v>
      </c>
      <c r="B106" s="20" t="s">
        <v>106</v>
      </c>
      <c r="C106" s="20" t="s">
        <v>130</v>
      </c>
      <c r="D106" s="21">
        <v>0</v>
      </c>
      <c r="E106" s="21">
        <v>0</v>
      </c>
      <c r="F106" s="27">
        <f t="shared" si="12"/>
        <v>0</v>
      </c>
      <c r="G106" s="28">
        <v>0</v>
      </c>
      <c r="H106" s="21">
        <f t="shared" si="13"/>
        <v>0</v>
      </c>
      <c r="I106" s="28">
        <v>0</v>
      </c>
      <c r="J106" s="21">
        <f t="shared" si="14"/>
        <v>0</v>
      </c>
      <c r="K106" s="28">
        <v>0</v>
      </c>
      <c r="L106" s="21">
        <f t="shared" si="15"/>
        <v>0</v>
      </c>
      <c r="M106" s="63"/>
      <c r="N106" s="63"/>
    </row>
    <row r="107" spans="1:14" x14ac:dyDescent="0.35">
      <c r="A107" s="63"/>
      <c r="B107" s="24"/>
      <c r="C107" s="24"/>
      <c r="D107" s="25">
        <f>SUM(D84:D106)</f>
        <v>884451.40999999992</v>
      </c>
      <c r="E107" s="25">
        <f>SUM(E84:E106)</f>
        <v>752770.88</v>
      </c>
      <c r="F107" s="26">
        <f t="shared" si="12"/>
        <v>-0.14888384880295447</v>
      </c>
      <c r="G107" s="26">
        <f>IF(E107=0,0,H107/E107-1)</f>
        <v>0</v>
      </c>
      <c r="H107" s="25">
        <f>SUM(H84:H106)</f>
        <v>752770.88</v>
      </c>
      <c r="I107" s="26">
        <f>J107/H107-1</f>
        <v>0</v>
      </c>
      <c r="J107" s="25">
        <f>SUM(J84:J106)</f>
        <v>752770.88</v>
      </c>
      <c r="K107" s="26">
        <f>L107/J107-1</f>
        <v>0</v>
      </c>
      <c r="L107" s="25">
        <f>SUM(L84:L106)</f>
        <v>752770.88</v>
      </c>
      <c r="M107" s="63"/>
      <c r="N107" s="63"/>
    </row>
  </sheetData>
  <sheetProtection algorithmName="SHA-512" hashValue="1R9KF3d/yxk+XHTRMW+nJV+Le1esm6iZt+uzlEWilofnNp7x8q9SbNasmOSz8jxapU234BwXCLpaTxJEL67kqA==" saltValue="RVsIxWRfqI8nV1jFTneWxw==" spinCount="100000" sheet="1" objects="1" scenarios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fe372f-dfee-4f9b-b101-6a77f0c3c3b5}" enabled="1" method="Standard" siteId="{2cf835d1-453b-472b-9b90-3f6d854ad75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Summary</vt:lpstr>
      <vt:lpstr>Investment Case Asks - Summary</vt:lpstr>
      <vt:lpstr>Investment Case Asks - Monthly</vt:lpstr>
      <vt:lpstr>Questions to Ask</vt:lpstr>
      <vt:lpstr>Baseline Support --&gt;</vt:lpstr>
      <vt:lpstr>Base - Payroll</vt:lpstr>
      <vt:lpstr>Base - Non-Payroll</vt:lpstr>
      <vt:lpstr>dvTypeOfExpenseList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Binner, Sharleen</dc:creator>
  <cp:lastModifiedBy>Binner, Sharleen</cp:lastModifiedBy>
  <dcterms:created xsi:type="dcterms:W3CDTF">2015-06-05T18:17:20Z</dcterms:created>
  <dcterms:modified xsi:type="dcterms:W3CDTF">2026-07-08T23:23:18Z</dcterms:modified>
</cp:coreProperties>
</file>