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ad.prologis.com\offices\North America\USA\San Francisco\corpfpa\G&amp;A\Reforecast Folders\2027\"/>
    </mc:Choice>
  </mc:AlternateContent>
  <xr:revisionPtr revIDLastSave="0" documentId="13_ncr:1_{809F0D25-F680-4B24-9C24-AA9D38D0FE83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ummary" sheetId="1" r:id="rId1"/>
    <sheet name="Investment Case Asks - Summary" sheetId="2" r:id="rId2"/>
    <sheet name="Investment Case Asks - Monthly" sheetId="3" r:id="rId3"/>
    <sheet name="Questions to Ask" sheetId="4" r:id="rId4"/>
    <sheet name="Baseline Support --&gt;" sheetId="5" r:id="rId5"/>
    <sheet name="Base - Payroll" sheetId="6" r:id="rId6"/>
    <sheet name="Base - Non-Payroll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3" l="1"/>
  <c r="AQ5" i="3"/>
  <c r="AR5" i="3"/>
  <c r="AS5" i="3"/>
  <c r="AT5" i="3"/>
  <c r="AU5" i="3"/>
  <c r="AV5" i="3"/>
  <c r="AW5" i="3"/>
  <c r="AX5" i="3"/>
  <c r="AY5" i="3"/>
  <c r="AZ5" i="3"/>
  <c r="AP6" i="3"/>
  <c r="AQ6" i="3"/>
  <c r="AR6" i="3"/>
  <c r="AS6" i="3"/>
  <c r="AT6" i="3"/>
  <c r="AU6" i="3"/>
  <c r="AV6" i="3"/>
  <c r="AW6" i="3"/>
  <c r="AX6" i="3"/>
  <c r="AY6" i="3"/>
  <c r="AZ6" i="3"/>
  <c r="AP7" i="3"/>
  <c r="AQ7" i="3"/>
  <c r="AR7" i="3"/>
  <c r="AS7" i="3"/>
  <c r="AT7" i="3"/>
  <c r="AU7" i="3"/>
  <c r="AV7" i="3"/>
  <c r="AW7" i="3"/>
  <c r="AX7" i="3"/>
  <c r="AY7" i="3"/>
  <c r="AZ7" i="3"/>
  <c r="AP8" i="3"/>
  <c r="AQ8" i="3"/>
  <c r="AR8" i="3"/>
  <c r="AS8" i="3"/>
  <c r="AT8" i="3"/>
  <c r="AU8" i="3"/>
  <c r="AV8" i="3"/>
  <c r="AW8" i="3"/>
  <c r="AX8" i="3"/>
  <c r="AY8" i="3"/>
  <c r="AZ8" i="3"/>
  <c r="AP9" i="3"/>
  <c r="AQ9" i="3"/>
  <c r="AR9" i="3"/>
  <c r="AS9" i="3"/>
  <c r="AT9" i="3"/>
  <c r="AU9" i="3"/>
  <c r="AV9" i="3"/>
  <c r="AW9" i="3"/>
  <c r="AX9" i="3"/>
  <c r="AY9" i="3"/>
  <c r="AZ9" i="3"/>
  <c r="AP11" i="3"/>
  <c r="AQ11" i="3"/>
  <c r="AR11" i="3"/>
  <c r="AS11" i="3"/>
  <c r="AT11" i="3"/>
  <c r="AU11" i="3"/>
  <c r="AV11" i="3"/>
  <c r="AW11" i="3"/>
  <c r="AX11" i="3"/>
  <c r="AY11" i="3"/>
  <c r="AZ11" i="3"/>
  <c r="AP12" i="3"/>
  <c r="AQ12" i="3"/>
  <c r="AR12" i="3"/>
  <c r="AS12" i="3"/>
  <c r="AT12" i="3"/>
  <c r="AU12" i="3"/>
  <c r="AV12" i="3"/>
  <c r="AW12" i="3"/>
  <c r="AX12" i="3"/>
  <c r="AY12" i="3"/>
  <c r="AZ12" i="3"/>
  <c r="AP13" i="3"/>
  <c r="AQ13" i="3"/>
  <c r="AR13" i="3"/>
  <c r="AS13" i="3"/>
  <c r="AT13" i="3"/>
  <c r="AU13" i="3"/>
  <c r="AV13" i="3"/>
  <c r="AW13" i="3"/>
  <c r="AX13" i="3"/>
  <c r="AY13" i="3"/>
  <c r="AZ13" i="3"/>
  <c r="AP14" i="3"/>
  <c r="AQ14" i="3"/>
  <c r="AR14" i="3"/>
  <c r="AS14" i="3"/>
  <c r="AT14" i="3"/>
  <c r="AU14" i="3"/>
  <c r="AV14" i="3"/>
  <c r="AW14" i="3"/>
  <c r="AX14" i="3"/>
  <c r="AY14" i="3"/>
  <c r="AZ14" i="3"/>
  <c r="AP15" i="3"/>
  <c r="AQ15" i="3"/>
  <c r="AR15" i="3"/>
  <c r="AS15" i="3"/>
  <c r="AT15" i="3"/>
  <c r="AU15" i="3"/>
  <c r="AV15" i="3"/>
  <c r="AW15" i="3"/>
  <c r="AX15" i="3"/>
  <c r="AY15" i="3"/>
  <c r="AZ15" i="3"/>
  <c r="AP16" i="3"/>
  <c r="AQ16" i="3"/>
  <c r="AR16" i="3"/>
  <c r="AS16" i="3"/>
  <c r="AT16" i="3"/>
  <c r="AU16" i="3"/>
  <c r="AV16" i="3"/>
  <c r="AW16" i="3"/>
  <c r="AX16" i="3"/>
  <c r="AY16" i="3"/>
  <c r="AZ16" i="3"/>
  <c r="AP17" i="3"/>
  <c r="AQ17" i="3"/>
  <c r="AR17" i="3"/>
  <c r="AS17" i="3"/>
  <c r="AT17" i="3"/>
  <c r="AU17" i="3"/>
  <c r="AV17" i="3"/>
  <c r="AW17" i="3"/>
  <c r="AX17" i="3"/>
  <c r="AY17" i="3"/>
  <c r="AZ17" i="3"/>
  <c r="AP18" i="3"/>
  <c r="AQ18" i="3"/>
  <c r="AR18" i="3"/>
  <c r="AS18" i="3"/>
  <c r="AT18" i="3"/>
  <c r="AU18" i="3"/>
  <c r="AV18" i="3"/>
  <c r="AW18" i="3"/>
  <c r="AX18" i="3"/>
  <c r="AY18" i="3"/>
  <c r="AZ18" i="3"/>
  <c r="AP19" i="3"/>
  <c r="AQ19" i="3"/>
  <c r="AR19" i="3"/>
  <c r="AS19" i="3"/>
  <c r="AT19" i="3"/>
  <c r="AU19" i="3"/>
  <c r="AV19" i="3"/>
  <c r="AW19" i="3"/>
  <c r="AX19" i="3"/>
  <c r="AY19" i="3"/>
  <c r="AZ19" i="3"/>
  <c r="AP20" i="3"/>
  <c r="AQ20" i="3"/>
  <c r="AR20" i="3"/>
  <c r="AS20" i="3"/>
  <c r="AT20" i="3"/>
  <c r="AU20" i="3"/>
  <c r="AV20" i="3"/>
  <c r="AW20" i="3"/>
  <c r="AX20" i="3"/>
  <c r="AY20" i="3"/>
  <c r="AZ20" i="3"/>
  <c r="AO6" i="3"/>
  <c r="AO7" i="3"/>
  <c r="AO8" i="3"/>
  <c r="AO9" i="3"/>
  <c r="AO11" i="3"/>
  <c r="AO12" i="3"/>
  <c r="AO13" i="3"/>
  <c r="AO14" i="3"/>
  <c r="AO15" i="3"/>
  <c r="AO16" i="3"/>
  <c r="AO17" i="3"/>
  <c r="AO18" i="3"/>
  <c r="AO19" i="3"/>
  <c r="AO20" i="3"/>
  <c r="AO5" i="3"/>
  <c r="AC5" i="3"/>
  <c r="AD5" i="3"/>
  <c r="AE5" i="3"/>
  <c r="AF5" i="3"/>
  <c r="AG5" i="3"/>
  <c r="AH5" i="3"/>
  <c r="AI5" i="3"/>
  <c r="AJ5" i="3"/>
  <c r="AK5" i="3"/>
  <c r="AL5" i="3"/>
  <c r="AM5" i="3"/>
  <c r="AC6" i="3"/>
  <c r="AD6" i="3"/>
  <c r="AE6" i="3"/>
  <c r="AF6" i="3"/>
  <c r="AG6" i="3"/>
  <c r="AH6" i="3"/>
  <c r="AI6" i="3"/>
  <c r="AJ6" i="3"/>
  <c r="AK6" i="3"/>
  <c r="AL6" i="3"/>
  <c r="AM6" i="3"/>
  <c r="AC7" i="3"/>
  <c r="AD7" i="3"/>
  <c r="AE7" i="3"/>
  <c r="AF7" i="3"/>
  <c r="AG7" i="3"/>
  <c r="AH7" i="3"/>
  <c r="AI7" i="3"/>
  <c r="AJ7" i="3"/>
  <c r="AK7" i="3"/>
  <c r="AL7" i="3"/>
  <c r="AM7" i="3"/>
  <c r="AC8" i="3"/>
  <c r="AD8" i="3"/>
  <c r="AE8" i="3"/>
  <c r="AF8" i="3"/>
  <c r="AG8" i="3"/>
  <c r="AH8" i="3"/>
  <c r="AI8" i="3"/>
  <c r="AJ8" i="3"/>
  <c r="AK8" i="3"/>
  <c r="AL8" i="3"/>
  <c r="AM8" i="3"/>
  <c r="AC9" i="3"/>
  <c r="AD9" i="3"/>
  <c r="AE9" i="3"/>
  <c r="AF9" i="3"/>
  <c r="AG9" i="3"/>
  <c r="AH9" i="3"/>
  <c r="AI9" i="3"/>
  <c r="AJ9" i="3"/>
  <c r="AK9" i="3"/>
  <c r="AL9" i="3"/>
  <c r="AM9" i="3"/>
  <c r="AC11" i="3"/>
  <c r="AD11" i="3"/>
  <c r="AE11" i="3"/>
  <c r="AF11" i="3"/>
  <c r="AG11" i="3"/>
  <c r="AH11" i="3"/>
  <c r="AI11" i="3"/>
  <c r="AJ11" i="3"/>
  <c r="AK11" i="3"/>
  <c r="AL11" i="3"/>
  <c r="AM11" i="3"/>
  <c r="AC12" i="3"/>
  <c r="AD12" i="3"/>
  <c r="AE12" i="3"/>
  <c r="AF12" i="3"/>
  <c r="AG12" i="3"/>
  <c r="AH12" i="3"/>
  <c r="AI12" i="3"/>
  <c r="AJ12" i="3"/>
  <c r="AK12" i="3"/>
  <c r="AL12" i="3"/>
  <c r="AM12" i="3"/>
  <c r="AC13" i="3"/>
  <c r="AD13" i="3"/>
  <c r="AE13" i="3"/>
  <c r="AF13" i="3"/>
  <c r="AG13" i="3"/>
  <c r="AH13" i="3"/>
  <c r="AI13" i="3"/>
  <c r="AJ13" i="3"/>
  <c r="AK13" i="3"/>
  <c r="AL13" i="3"/>
  <c r="AM13" i="3"/>
  <c r="AC14" i="3"/>
  <c r="AD14" i="3"/>
  <c r="AE14" i="3"/>
  <c r="AF14" i="3"/>
  <c r="AG14" i="3"/>
  <c r="AH14" i="3"/>
  <c r="AI14" i="3"/>
  <c r="AJ14" i="3"/>
  <c r="AK14" i="3"/>
  <c r="AL14" i="3"/>
  <c r="AM14" i="3"/>
  <c r="AC15" i="3"/>
  <c r="AD15" i="3"/>
  <c r="AE15" i="3"/>
  <c r="AF15" i="3"/>
  <c r="AG15" i="3"/>
  <c r="AH15" i="3"/>
  <c r="AI15" i="3"/>
  <c r="AJ15" i="3"/>
  <c r="AK15" i="3"/>
  <c r="AL15" i="3"/>
  <c r="AM15" i="3"/>
  <c r="AC16" i="3"/>
  <c r="AD16" i="3"/>
  <c r="AE16" i="3"/>
  <c r="AF16" i="3"/>
  <c r="AG16" i="3"/>
  <c r="AH16" i="3"/>
  <c r="AI16" i="3"/>
  <c r="AJ16" i="3"/>
  <c r="AK16" i="3"/>
  <c r="AL16" i="3"/>
  <c r="AM16" i="3"/>
  <c r="AC17" i="3"/>
  <c r="AD17" i="3"/>
  <c r="AE17" i="3"/>
  <c r="AF17" i="3"/>
  <c r="AG17" i="3"/>
  <c r="AH17" i="3"/>
  <c r="AI17" i="3"/>
  <c r="AJ17" i="3"/>
  <c r="AK17" i="3"/>
  <c r="AL17" i="3"/>
  <c r="AM17" i="3"/>
  <c r="AC18" i="3"/>
  <c r="AD18" i="3"/>
  <c r="AE18" i="3"/>
  <c r="AF18" i="3"/>
  <c r="AG18" i="3"/>
  <c r="AH18" i="3"/>
  <c r="AI18" i="3"/>
  <c r="AJ18" i="3"/>
  <c r="AK18" i="3"/>
  <c r="AL18" i="3"/>
  <c r="AM18" i="3"/>
  <c r="AC19" i="3"/>
  <c r="AD19" i="3"/>
  <c r="AE19" i="3"/>
  <c r="AF19" i="3"/>
  <c r="AG19" i="3"/>
  <c r="AH19" i="3"/>
  <c r="AI19" i="3"/>
  <c r="AJ19" i="3"/>
  <c r="AK19" i="3"/>
  <c r="AL19" i="3"/>
  <c r="AM19" i="3"/>
  <c r="AC20" i="3"/>
  <c r="AD20" i="3"/>
  <c r="AE20" i="3"/>
  <c r="AF20" i="3"/>
  <c r="AG20" i="3"/>
  <c r="AH20" i="3"/>
  <c r="AI20" i="3"/>
  <c r="AJ20" i="3"/>
  <c r="AK20" i="3"/>
  <c r="AL20" i="3"/>
  <c r="AM20" i="3"/>
  <c r="AB6" i="3"/>
  <c r="AB7" i="3"/>
  <c r="AB8" i="3"/>
  <c r="AB9" i="3"/>
  <c r="AB11" i="3"/>
  <c r="AB12" i="3"/>
  <c r="AB13" i="3"/>
  <c r="AB14" i="3"/>
  <c r="AB15" i="3"/>
  <c r="AB16" i="3"/>
  <c r="AB17" i="3"/>
  <c r="AB18" i="3"/>
  <c r="AB19" i="3"/>
  <c r="AB20" i="3"/>
  <c r="AB5" i="3"/>
  <c r="P5" i="3"/>
  <c r="Q5" i="3"/>
  <c r="R5" i="3"/>
  <c r="S5" i="3"/>
  <c r="T5" i="3"/>
  <c r="U5" i="3"/>
  <c r="V5" i="3"/>
  <c r="W5" i="3"/>
  <c r="X5" i="3"/>
  <c r="Y5" i="3"/>
  <c r="Z5" i="3"/>
  <c r="P6" i="3"/>
  <c r="Q6" i="3"/>
  <c r="R6" i="3"/>
  <c r="S6" i="3"/>
  <c r="T6" i="3"/>
  <c r="U6" i="3"/>
  <c r="V6" i="3"/>
  <c r="W6" i="3"/>
  <c r="X6" i="3"/>
  <c r="Y6" i="3"/>
  <c r="Z6" i="3"/>
  <c r="P7" i="3"/>
  <c r="Q7" i="3"/>
  <c r="R7" i="3"/>
  <c r="S7" i="3"/>
  <c r="T7" i="3"/>
  <c r="U7" i="3"/>
  <c r="V7" i="3"/>
  <c r="W7" i="3"/>
  <c r="X7" i="3"/>
  <c r="Y7" i="3"/>
  <c r="Z7" i="3"/>
  <c r="P8" i="3"/>
  <c r="Q8" i="3"/>
  <c r="R8" i="3"/>
  <c r="S8" i="3"/>
  <c r="T8" i="3"/>
  <c r="U8" i="3"/>
  <c r="V8" i="3"/>
  <c r="W8" i="3"/>
  <c r="X8" i="3"/>
  <c r="Y8" i="3"/>
  <c r="Z8" i="3"/>
  <c r="P9" i="3"/>
  <c r="Q9" i="3"/>
  <c r="R9" i="3"/>
  <c r="S9" i="3"/>
  <c r="T9" i="3"/>
  <c r="U9" i="3"/>
  <c r="V9" i="3"/>
  <c r="W9" i="3"/>
  <c r="X9" i="3"/>
  <c r="Y9" i="3"/>
  <c r="Z9" i="3"/>
  <c r="P11" i="3"/>
  <c r="Q11" i="3"/>
  <c r="R11" i="3"/>
  <c r="S11" i="3"/>
  <c r="T11" i="3"/>
  <c r="U11" i="3"/>
  <c r="V11" i="3"/>
  <c r="W11" i="3"/>
  <c r="X11" i="3"/>
  <c r="Y11" i="3"/>
  <c r="Z11" i="3"/>
  <c r="P12" i="3"/>
  <c r="Q12" i="3"/>
  <c r="R12" i="3"/>
  <c r="S12" i="3"/>
  <c r="T12" i="3"/>
  <c r="U12" i="3"/>
  <c r="V12" i="3"/>
  <c r="W12" i="3"/>
  <c r="X12" i="3"/>
  <c r="Y12" i="3"/>
  <c r="Z12" i="3"/>
  <c r="P13" i="3"/>
  <c r="Q13" i="3"/>
  <c r="R13" i="3"/>
  <c r="S13" i="3"/>
  <c r="T13" i="3"/>
  <c r="U13" i="3"/>
  <c r="V13" i="3"/>
  <c r="W13" i="3"/>
  <c r="X13" i="3"/>
  <c r="Y13" i="3"/>
  <c r="Z13" i="3"/>
  <c r="P14" i="3"/>
  <c r="Q14" i="3"/>
  <c r="R14" i="3"/>
  <c r="S14" i="3"/>
  <c r="T14" i="3"/>
  <c r="U14" i="3"/>
  <c r="V14" i="3"/>
  <c r="W14" i="3"/>
  <c r="X14" i="3"/>
  <c r="Y14" i="3"/>
  <c r="Z14" i="3"/>
  <c r="P15" i="3"/>
  <c r="Q15" i="3"/>
  <c r="R15" i="3"/>
  <c r="S15" i="3"/>
  <c r="T15" i="3"/>
  <c r="U15" i="3"/>
  <c r="V15" i="3"/>
  <c r="W15" i="3"/>
  <c r="X15" i="3"/>
  <c r="Y15" i="3"/>
  <c r="Z15" i="3"/>
  <c r="P16" i="3"/>
  <c r="Q16" i="3"/>
  <c r="R16" i="3"/>
  <c r="S16" i="3"/>
  <c r="T16" i="3"/>
  <c r="U16" i="3"/>
  <c r="V16" i="3"/>
  <c r="W16" i="3"/>
  <c r="X16" i="3"/>
  <c r="Y16" i="3"/>
  <c r="Z16" i="3"/>
  <c r="P17" i="3"/>
  <c r="Q17" i="3"/>
  <c r="R17" i="3"/>
  <c r="S17" i="3"/>
  <c r="T17" i="3"/>
  <c r="U17" i="3"/>
  <c r="V17" i="3"/>
  <c r="W17" i="3"/>
  <c r="X17" i="3"/>
  <c r="Y17" i="3"/>
  <c r="Z17" i="3"/>
  <c r="P18" i="3"/>
  <c r="Q18" i="3"/>
  <c r="R18" i="3"/>
  <c r="S18" i="3"/>
  <c r="T18" i="3"/>
  <c r="U18" i="3"/>
  <c r="V18" i="3"/>
  <c r="W18" i="3"/>
  <c r="X18" i="3"/>
  <c r="Y18" i="3"/>
  <c r="Z18" i="3"/>
  <c r="P19" i="3"/>
  <c r="Q19" i="3"/>
  <c r="R19" i="3"/>
  <c r="S19" i="3"/>
  <c r="T19" i="3"/>
  <c r="U19" i="3"/>
  <c r="V19" i="3"/>
  <c r="W19" i="3"/>
  <c r="X19" i="3"/>
  <c r="Y19" i="3"/>
  <c r="Z19" i="3"/>
  <c r="P20" i="3"/>
  <c r="Q20" i="3"/>
  <c r="R20" i="3"/>
  <c r="S20" i="3"/>
  <c r="T20" i="3"/>
  <c r="U20" i="3"/>
  <c r="V20" i="3"/>
  <c r="W20" i="3"/>
  <c r="X20" i="3"/>
  <c r="Y20" i="3"/>
  <c r="Z20" i="3"/>
  <c r="O6" i="3"/>
  <c r="O7" i="3"/>
  <c r="O8" i="3"/>
  <c r="O9" i="3"/>
  <c r="O11" i="3"/>
  <c r="O12" i="3"/>
  <c r="O13" i="3"/>
  <c r="O14" i="3"/>
  <c r="O15" i="3"/>
  <c r="O16" i="3"/>
  <c r="O17" i="3"/>
  <c r="O18" i="3"/>
  <c r="O19" i="3"/>
  <c r="O20" i="3"/>
  <c r="H32" i="3" l="1"/>
  <c r="F32" i="3"/>
  <c r="J30" i="3"/>
  <c r="H3" i="6"/>
  <c r="I3" i="6" s="1"/>
  <c r="E26" i="7" l="1"/>
  <c r="D26" i="7"/>
  <c r="H25" i="7"/>
  <c r="J25" i="7" s="1"/>
  <c r="F25" i="7"/>
  <c r="H24" i="7"/>
  <c r="J24" i="7" s="1"/>
  <c r="F24" i="7"/>
  <c r="H23" i="7"/>
  <c r="J23" i="7" s="1"/>
  <c r="F23" i="7"/>
  <c r="H22" i="7"/>
  <c r="J22" i="7" s="1"/>
  <c r="F22" i="7"/>
  <c r="H21" i="7"/>
  <c r="J21" i="7" s="1"/>
  <c r="F21" i="7"/>
  <c r="H20" i="7"/>
  <c r="D71" i="1" s="1"/>
  <c r="F20" i="7"/>
  <c r="H19" i="7"/>
  <c r="J19" i="7" s="1"/>
  <c r="F19" i="7"/>
  <c r="H18" i="7"/>
  <c r="J18" i="7" s="1"/>
  <c r="F18" i="7"/>
  <c r="H17" i="7"/>
  <c r="J17" i="7" s="1"/>
  <c r="F17" i="7"/>
  <c r="H16" i="7"/>
  <c r="J16" i="7" s="1"/>
  <c r="F16" i="7"/>
  <c r="H15" i="7"/>
  <c r="J15" i="7" s="1"/>
  <c r="F15" i="7"/>
  <c r="H14" i="7"/>
  <c r="J14" i="7" s="1"/>
  <c r="F14" i="7"/>
  <c r="H13" i="7"/>
  <c r="J13" i="7" s="1"/>
  <c r="F13" i="7"/>
  <c r="H12" i="7"/>
  <c r="D63" i="1" s="1"/>
  <c r="F12" i="7"/>
  <c r="H11" i="7"/>
  <c r="J11" i="7" s="1"/>
  <c r="F11" i="7"/>
  <c r="H10" i="7"/>
  <c r="J10" i="7" s="1"/>
  <c r="F10" i="7"/>
  <c r="H9" i="7"/>
  <c r="J9" i="7" s="1"/>
  <c r="F9" i="7"/>
  <c r="H8" i="7"/>
  <c r="J8" i="7" s="1"/>
  <c r="F8" i="7"/>
  <c r="H7" i="7"/>
  <c r="J7" i="7" s="1"/>
  <c r="F7" i="7"/>
  <c r="H6" i="7"/>
  <c r="J6" i="7" s="1"/>
  <c r="F6" i="7"/>
  <c r="H5" i="7"/>
  <c r="J5" i="7" s="1"/>
  <c r="F5" i="7"/>
  <c r="H4" i="7"/>
  <c r="F4" i="7"/>
  <c r="H3" i="7"/>
  <c r="J3" i="7" s="1"/>
  <c r="F3" i="7"/>
  <c r="E17" i="6"/>
  <c r="D17" i="6"/>
  <c r="E16" i="6"/>
  <c r="G8" i="6" s="1"/>
  <c r="D16" i="6"/>
  <c r="E15" i="6"/>
  <c r="G7" i="6" s="1"/>
  <c r="D15" i="6"/>
  <c r="E14" i="6"/>
  <c r="G6" i="6" s="1"/>
  <c r="D14" i="6"/>
  <c r="E13" i="6"/>
  <c r="G5" i="6" s="1"/>
  <c r="D13" i="6"/>
  <c r="E12" i="6"/>
  <c r="G4" i="6" s="1"/>
  <c r="D12" i="6"/>
  <c r="E10" i="6"/>
  <c r="D10" i="6"/>
  <c r="G9" i="6"/>
  <c r="H9" i="6" s="1"/>
  <c r="I9" i="6" s="1"/>
  <c r="F9" i="6"/>
  <c r="F8" i="6"/>
  <c r="F7" i="6"/>
  <c r="F6" i="6"/>
  <c r="F5" i="6"/>
  <c r="F4" i="6"/>
  <c r="F3" i="6"/>
  <c r="D44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C42" i="3"/>
  <c r="AB42" i="3"/>
  <c r="AA42" i="3"/>
  <c r="Z42" i="3"/>
  <c r="Y42" i="3"/>
  <c r="X42" i="3"/>
  <c r="W42" i="3"/>
  <c r="V42" i="3"/>
  <c r="U42" i="3"/>
  <c r="T42" i="3"/>
  <c r="S42" i="3"/>
  <c r="R42" i="3"/>
  <c r="P42" i="3"/>
  <c r="O42" i="3"/>
  <c r="N42" i="3"/>
  <c r="M42" i="3"/>
  <c r="L42" i="3"/>
  <c r="K42" i="3"/>
  <c r="J42" i="3"/>
  <c r="I42" i="3"/>
  <c r="H42" i="3"/>
  <c r="G42" i="3"/>
  <c r="F42" i="3"/>
  <c r="E42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C41" i="3"/>
  <c r="AB41" i="3"/>
  <c r="AA41" i="3"/>
  <c r="Z41" i="3"/>
  <c r="Y41" i="3"/>
  <c r="X41" i="3"/>
  <c r="W41" i="3"/>
  <c r="V41" i="3"/>
  <c r="U41" i="3"/>
  <c r="T41" i="3"/>
  <c r="S41" i="3"/>
  <c r="R41" i="3"/>
  <c r="P41" i="3"/>
  <c r="O41" i="3"/>
  <c r="N41" i="3"/>
  <c r="M41" i="3"/>
  <c r="L41" i="3"/>
  <c r="K41" i="3"/>
  <c r="J41" i="3"/>
  <c r="I41" i="3"/>
  <c r="H41" i="3"/>
  <c r="G41" i="3"/>
  <c r="F41" i="3"/>
  <c r="E41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C40" i="3"/>
  <c r="AB40" i="3"/>
  <c r="AA40" i="3"/>
  <c r="Z40" i="3"/>
  <c r="Y40" i="3"/>
  <c r="X40" i="3"/>
  <c r="W40" i="3"/>
  <c r="V40" i="3"/>
  <c r="U40" i="3"/>
  <c r="T40" i="3"/>
  <c r="S40" i="3"/>
  <c r="R40" i="3"/>
  <c r="P40" i="3"/>
  <c r="O40" i="3"/>
  <c r="N40" i="3"/>
  <c r="M40" i="3"/>
  <c r="L40" i="3"/>
  <c r="K40" i="3"/>
  <c r="J40" i="3"/>
  <c r="I40" i="3"/>
  <c r="H40" i="3"/>
  <c r="G40" i="3"/>
  <c r="F40" i="3"/>
  <c r="E40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C39" i="3"/>
  <c r="AB39" i="3"/>
  <c r="AA39" i="3"/>
  <c r="Z39" i="3"/>
  <c r="Y39" i="3"/>
  <c r="X39" i="3"/>
  <c r="W39" i="3"/>
  <c r="V39" i="3"/>
  <c r="U39" i="3"/>
  <c r="T39" i="3"/>
  <c r="S39" i="3"/>
  <c r="R39" i="3"/>
  <c r="P39" i="3"/>
  <c r="O39" i="3"/>
  <c r="N39" i="3"/>
  <c r="M39" i="3"/>
  <c r="L39" i="3"/>
  <c r="K39" i="3"/>
  <c r="J39" i="3"/>
  <c r="I39" i="3"/>
  <c r="H39" i="3"/>
  <c r="G39" i="3"/>
  <c r="F39" i="3"/>
  <c r="E39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C38" i="3"/>
  <c r="AB38" i="3"/>
  <c r="AA38" i="3"/>
  <c r="Z38" i="3"/>
  <c r="Y38" i="3"/>
  <c r="X38" i="3"/>
  <c r="W38" i="3"/>
  <c r="V38" i="3"/>
  <c r="U38" i="3"/>
  <c r="T38" i="3"/>
  <c r="S38" i="3"/>
  <c r="R38" i="3"/>
  <c r="P38" i="3"/>
  <c r="O38" i="3"/>
  <c r="N38" i="3"/>
  <c r="M38" i="3"/>
  <c r="L38" i="3"/>
  <c r="K38" i="3"/>
  <c r="J38" i="3"/>
  <c r="I38" i="3"/>
  <c r="H38" i="3"/>
  <c r="G38" i="3"/>
  <c r="F38" i="3"/>
  <c r="E38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C37" i="3"/>
  <c r="AB37" i="3"/>
  <c r="AA37" i="3"/>
  <c r="Z37" i="3"/>
  <c r="Y37" i="3"/>
  <c r="X37" i="3"/>
  <c r="W37" i="3"/>
  <c r="V37" i="3"/>
  <c r="U37" i="3"/>
  <c r="T37" i="3"/>
  <c r="S37" i="3"/>
  <c r="R37" i="3"/>
  <c r="P37" i="3"/>
  <c r="O37" i="3"/>
  <c r="N37" i="3"/>
  <c r="M37" i="3"/>
  <c r="L37" i="3"/>
  <c r="K37" i="3"/>
  <c r="J37" i="3"/>
  <c r="I37" i="3"/>
  <c r="H37" i="3"/>
  <c r="G37" i="3"/>
  <c r="F37" i="3"/>
  <c r="E37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C36" i="3"/>
  <c r="AB36" i="3"/>
  <c r="AA36" i="3"/>
  <c r="Z36" i="3"/>
  <c r="Y36" i="3"/>
  <c r="X36" i="3"/>
  <c r="W36" i="3"/>
  <c r="V36" i="3"/>
  <c r="U36" i="3"/>
  <c r="T36" i="3"/>
  <c r="S36" i="3"/>
  <c r="R36" i="3"/>
  <c r="P36" i="3"/>
  <c r="O36" i="3"/>
  <c r="N36" i="3"/>
  <c r="M36" i="3"/>
  <c r="L36" i="3"/>
  <c r="K36" i="3"/>
  <c r="J36" i="3"/>
  <c r="I36" i="3"/>
  <c r="H36" i="3"/>
  <c r="G36" i="3"/>
  <c r="F36" i="3"/>
  <c r="E36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C35" i="3"/>
  <c r="AB35" i="3"/>
  <c r="AA35" i="3"/>
  <c r="Z35" i="3"/>
  <c r="Y35" i="3"/>
  <c r="X35" i="3"/>
  <c r="W35" i="3"/>
  <c r="V35" i="3"/>
  <c r="U35" i="3"/>
  <c r="T35" i="3"/>
  <c r="S35" i="3"/>
  <c r="R35" i="3"/>
  <c r="P35" i="3"/>
  <c r="O35" i="3"/>
  <c r="N35" i="3"/>
  <c r="M35" i="3"/>
  <c r="L35" i="3"/>
  <c r="K35" i="3"/>
  <c r="J35" i="3"/>
  <c r="I35" i="3"/>
  <c r="H35" i="3"/>
  <c r="G35" i="3"/>
  <c r="F35" i="3"/>
  <c r="E35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C34" i="3"/>
  <c r="AB34" i="3"/>
  <c r="AA34" i="3"/>
  <c r="Z34" i="3"/>
  <c r="Y34" i="3"/>
  <c r="X34" i="3"/>
  <c r="W34" i="3"/>
  <c r="V34" i="3"/>
  <c r="U34" i="3"/>
  <c r="T34" i="3"/>
  <c r="S34" i="3"/>
  <c r="R34" i="3"/>
  <c r="P34" i="3"/>
  <c r="O34" i="3"/>
  <c r="N34" i="3"/>
  <c r="M34" i="3"/>
  <c r="L34" i="3"/>
  <c r="K34" i="3"/>
  <c r="J34" i="3"/>
  <c r="I34" i="3"/>
  <c r="H34" i="3"/>
  <c r="G34" i="3"/>
  <c r="F34" i="3"/>
  <c r="E34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C33" i="3"/>
  <c r="AB33" i="3"/>
  <c r="AA33" i="3"/>
  <c r="Z33" i="3"/>
  <c r="Y33" i="3"/>
  <c r="X33" i="3"/>
  <c r="W33" i="3"/>
  <c r="V33" i="3"/>
  <c r="U33" i="3"/>
  <c r="T33" i="3"/>
  <c r="S33" i="3"/>
  <c r="R33" i="3"/>
  <c r="P33" i="3"/>
  <c r="O33" i="3"/>
  <c r="N33" i="3"/>
  <c r="M33" i="3"/>
  <c r="L33" i="3"/>
  <c r="K33" i="3"/>
  <c r="J33" i="3"/>
  <c r="I33" i="3"/>
  <c r="H33" i="3"/>
  <c r="G33" i="3"/>
  <c r="F33" i="3"/>
  <c r="E33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C32" i="3"/>
  <c r="AB32" i="3"/>
  <c r="AA32" i="3"/>
  <c r="Z32" i="3"/>
  <c r="Y32" i="3"/>
  <c r="X32" i="3"/>
  <c r="W32" i="3"/>
  <c r="V32" i="3"/>
  <c r="U32" i="3"/>
  <c r="T32" i="3"/>
  <c r="S32" i="3"/>
  <c r="R32" i="3"/>
  <c r="P32" i="3"/>
  <c r="O32" i="3"/>
  <c r="N32" i="3"/>
  <c r="M32" i="3"/>
  <c r="L32" i="3"/>
  <c r="K32" i="3"/>
  <c r="J32" i="3"/>
  <c r="I32" i="3"/>
  <c r="G32" i="3"/>
  <c r="E32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C31" i="3"/>
  <c r="AB31" i="3"/>
  <c r="AA31" i="3"/>
  <c r="Z31" i="3"/>
  <c r="Y31" i="3"/>
  <c r="X31" i="3"/>
  <c r="W31" i="3"/>
  <c r="V31" i="3"/>
  <c r="U31" i="3"/>
  <c r="T31" i="3"/>
  <c r="S31" i="3"/>
  <c r="R31" i="3"/>
  <c r="P31" i="3"/>
  <c r="O31" i="3"/>
  <c r="N31" i="3"/>
  <c r="M31" i="3"/>
  <c r="L31" i="3"/>
  <c r="K31" i="3"/>
  <c r="J31" i="3"/>
  <c r="I31" i="3"/>
  <c r="H31" i="3"/>
  <c r="G31" i="3"/>
  <c r="F31" i="3"/>
  <c r="E31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C30" i="3"/>
  <c r="AB30" i="3"/>
  <c r="AA30" i="3"/>
  <c r="Z30" i="3"/>
  <c r="Y30" i="3"/>
  <c r="X30" i="3"/>
  <c r="W30" i="3"/>
  <c r="V30" i="3"/>
  <c r="U30" i="3"/>
  <c r="T30" i="3"/>
  <c r="S30" i="3"/>
  <c r="R30" i="3"/>
  <c r="P30" i="3"/>
  <c r="O30" i="3"/>
  <c r="N30" i="3"/>
  <c r="M30" i="3"/>
  <c r="L30" i="3"/>
  <c r="K30" i="3"/>
  <c r="I30" i="3"/>
  <c r="H30" i="3"/>
  <c r="G30" i="3"/>
  <c r="F30" i="3"/>
  <c r="E30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C29" i="3"/>
  <c r="AB29" i="3"/>
  <c r="AA29" i="3"/>
  <c r="Z29" i="3"/>
  <c r="Y29" i="3"/>
  <c r="X29" i="3"/>
  <c r="W29" i="3"/>
  <c r="V29" i="3"/>
  <c r="U29" i="3"/>
  <c r="T29" i="3"/>
  <c r="S29" i="3"/>
  <c r="R29" i="3"/>
  <c r="P29" i="3"/>
  <c r="O29" i="3"/>
  <c r="N29" i="3"/>
  <c r="M29" i="3"/>
  <c r="L29" i="3"/>
  <c r="K29" i="3"/>
  <c r="J29" i="3"/>
  <c r="I29" i="3"/>
  <c r="H29" i="3"/>
  <c r="G29" i="3"/>
  <c r="F29" i="3"/>
  <c r="E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C28" i="3"/>
  <c r="AB28" i="3"/>
  <c r="AA28" i="3"/>
  <c r="Z28" i="3"/>
  <c r="Y28" i="3"/>
  <c r="X28" i="3"/>
  <c r="W28" i="3"/>
  <c r="V28" i="3"/>
  <c r="U28" i="3"/>
  <c r="T28" i="3"/>
  <c r="S28" i="3"/>
  <c r="R28" i="3"/>
  <c r="P28" i="3"/>
  <c r="O28" i="3"/>
  <c r="N28" i="3"/>
  <c r="M28" i="3"/>
  <c r="L28" i="3"/>
  <c r="K28" i="3"/>
  <c r="J28" i="3"/>
  <c r="I28" i="3"/>
  <c r="H28" i="3"/>
  <c r="G28" i="3"/>
  <c r="F28" i="3"/>
  <c r="E28" i="3"/>
  <c r="G22" i="3"/>
  <c r="BA20" i="3"/>
  <c r="Q20" i="2" s="1"/>
  <c r="AN20" i="3"/>
  <c r="P20" i="2" s="1"/>
  <c r="AA20" i="3"/>
  <c r="O20" i="2" s="1"/>
  <c r="N20" i="3"/>
  <c r="N20" i="2" s="1"/>
  <c r="M20" i="3"/>
  <c r="M20" i="2" s="1"/>
  <c r="L20" i="3"/>
  <c r="L20" i="2" s="1"/>
  <c r="K20" i="3"/>
  <c r="K20" i="2" s="1"/>
  <c r="J20" i="3"/>
  <c r="J20" i="2" s="1"/>
  <c r="I20" i="3"/>
  <c r="I20" i="2" s="1"/>
  <c r="BA19" i="3"/>
  <c r="Q19" i="2" s="1"/>
  <c r="AN19" i="3"/>
  <c r="P19" i="2" s="1"/>
  <c r="AA19" i="3"/>
  <c r="O19" i="2" s="1"/>
  <c r="N19" i="3"/>
  <c r="N19" i="2" s="1"/>
  <c r="M19" i="3"/>
  <c r="M19" i="2" s="1"/>
  <c r="L19" i="3"/>
  <c r="L19" i="2" s="1"/>
  <c r="K19" i="3"/>
  <c r="K19" i="2" s="1"/>
  <c r="J19" i="3"/>
  <c r="J19" i="2" s="1"/>
  <c r="I19" i="3"/>
  <c r="I19" i="2" s="1"/>
  <c r="BA18" i="3"/>
  <c r="Q18" i="2" s="1"/>
  <c r="AN18" i="3"/>
  <c r="P18" i="2" s="1"/>
  <c r="AA18" i="3"/>
  <c r="O18" i="2" s="1"/>
  <c r="N18" i="3"/>
  <c r="N18" i="2" s="1"/>
  <c r="M18" i="3"/>
  <c r="M18" i="2" s="1"/>
  <c r="L18" i="3"/>
  <c r="L18" i="2" s="1"/>
  <c r="K18" i="3"/>
  <c r="K18" i="2" s="1"/>
  <c r="J18" i="3"/>
  <c r="J18" i="2" s="1"/>
  <c r="I18" i="3"/>
  <c r="I18" i="2" s="1"/>
  <c r="BA17" i="3"/>
  <c r="Q17" i="2" s="1"/>
  <c r="AN17" i="3"/>
  <c r="P17" i="2" s="1"/>
  <c r="AA17" i="3"/>
  <c r="O17" i="2" s="1"/>
  <c r="N17" i="3"/>
  <c r="N17" i="2" s="1"/>
  <c r="M17" i="3"/>
  <c r="M17" i="2" s="1"/>
  <c r="L17" i="3"/>
  <c r="L17" i="2" s="1"/>
  <c r="K17" i="3"/>
  <c r="K17" i="2" s="1"/>
  <c r="J17" i="3"/>
  <c r="J17" i="2" s="1"/>
  <c r="I17" i="3"/>
  <c r="I17" i="2" s="1"/>
  <c r="BA16" i="3"/>
  <c r="Q16" i="2" s="1"/>
  <c r="AN16" i="3"/>
  <c r="P16" i="2" s="1"/>
  <c r="AA16" i="3"/>
  <c r="O16" i="2" s="1"/>
  <c r="N16" i="3"/>
  <c r="N16" i="2" s="1"/>
  <c r="M16" i="3"/>
  <c r="M16" i="2" s="1"/>
  <c r="L16" i="3"/>
  <c r="L16" i="2" s="1"/>
  <c r="K16" i="3"/>
  <c r="K16" i="2" s="1"/>
  <c r="J16" i="3"/>
  <c r="J16" i="2" s="1"/>
  <c r="I16" i="3"/>
  <c r="I16" i="2" s="1"/>
  <c r="BA15" i="3"/>
  <c r="Q15" i="2" s="1"/>
  <c r="AN15" i="3"/>
  <c r="P15" i="2" s="1"/>
  <c r="AA15" i="3"/>
  <c r="O15" i="2" s="1"/>
  <c r="N15" i="3"/>
  <c r="N15" i="2" s="1"/>
  <c r="M15" i="3"/>
  <c r="M15" i="2" s="1"/>
  <c r="L15" i="3"/>
  <c r="L15" i="2" s="1"/>
  <c r="K15" i="3"/>
  <c r="K15" i="2" s="1"/>
  <c r="J15" i="3"/>
  <c r="J15" i="2" s="1"/>
  <c r="I15" i="3"/>
  <c r="I15" i="2" s="1"/>
  <c r="BA14" i="3"/>
  <c r="Q14" i="2" s="1"/>
  <c r="AN14" i="3"/>
  <c r="P14" i="2" s="1"/>
  <c r="AA14" i="3"/>
  <c r="O14" i="2" s="1"/>
  <c r="N14" i="3"/>
  <c r="N14" i="2" s="1"/>
  <c r="M14" i="3"/>
  <c r="M14" i="2" s="1"/>
  <c r="L14" i="3"/>
  <c r="L14" i="2" s="1"/>
  <c r="K14" i="3"/>
  <c r="K14" i="2" s="1"/>
  <c r="J14" i="3"/>
  <c r="J14" i="2" s="1"/>
  <c r="I14" i="3"/>
  <c r="I14" i="2" s="1"/>
  <c r="BA13" i="3"/>
  <c r="Q13" i="2" s="1"/>
  <c r="AN13" i="3"/>
  <c r="P13" i="2" s="1"/>
  <c r="AA13" i="3"/>
  <c r="O13" i="2" s="1"/>
  <c r="N13" i="3"/>
  <c r="N13" i="2" s="1"/>
  <c r="M13" i="3"/>
  <c r="M13" i="2" s="1"/>
  <c r="L13" i="3"/>
  <c r="L13" i="2" s="1"/>
  <c r="K13" i="3"/>
  <c r="K13" i="2" s="1"/>
  <c r="J13" i="3"/>
  <c r="J13" i="2" s="1"/>
  <c r="I13" i="3"/>
  <c r="I13" i="2" s="1"/>
  <c r="BA12" i="3"/>
  <c r="Q12" i="2" s="1"/>
  <c r="AN12" i="3"/>
  <c r="P12" i="2" s="1"/>
  <c r="AA12" i="3"/>
  <c r="O12" i="2" s="1"/>
  <c r="N12" i="3"/>
  <c r="N12" i="2" s="1"/>
  <c r="M12" i="3"/>
  <c r="M12" i="2" s="1"/>
  <c r="L12" i="3"/>
  <c r="L12" i="2" s="1"/>
  <c r="K12" i="3"/>
  <c r="K12" i="2" s="1"/>
  <c r="J12" i="3"/>
  <c r="J12" i="2" s="1"/>
  <c r="I12" i="3"/>
  <c r="I12" i="2" s="1"/>
  <c r="BA11" i="3"/>
  <c r="Q11" i="2" s="1"/>
  <c r="AN11" i="3"/>
  <c r="P11" i="2" s="1"/>
  <c r="AA11" i="3"/>
  <c r="O11" i="2" s="1"/>
  <c r="N11" i="3"/>
  <c r="N11" i="2" s="1"/>
  <c r="M11" i="3"/>
  <c r="M11" i="2" s="1"/>
  <c r="L11" i="3"/>
  <c r="L11" i="2" s="1"/>
  <c r="K11" i="3"/>
  <c r="K11" i="2" s="1"/>
  <c r="J11" i="3"/>
  <c r="J11" i="2" s="1"/>
  <c r="I11" i="3"/>
  <c r="I11" i="2" s="1"/>
  <c r="I10" i="3"/>
  <c r="I10" i="2" s="1"/>
  <c r="BA9" i="3"/>
  <c r="Q9" i="2" s="1"/>
  <c r="AN9" i="3"/>
  <c r="P9" i="2" s="1"/>
  <c r="AA9" i="3"/>
  <c r="O9" i="2" s="1"/>
  <c r="N9" i="3"/>
  <c r="N9" i="2" s="1"/>
  <c r="M9" i="3"/>
  <c r="M9" i="2" s="1"/>
  <c r="L9" i="3"/>
  <c r="L9" i="2" s="1"/>
  <c r="K9" i="3"/>
  <c r="K9" i="2" s="1"/>
  <c r="J9" i="3"/>
  <c r="J9" i="2" s="1"/>
  <c r="I9" i="3"/>
  <c r="I9" i="2" s="1"/>
  <c r="BA8" i="3"/>
  <c r="Q8" i="2" s="1"/>
  <c r="AN8" i="3"/>
  <c r="P8" i="2" s="1"/>
  <c r="AA8" i="3"/>
  <c r="O8" i="2" s="1"/>
  <c r="N8" i="3"/>
  <c r="N8" i="2" s="1"/>
  <c r="M8" i="3"/>
  <c r="M8" i="2" s="1"/>
  <c r="L8" i="3"/>
  <c r="L8" i="2" s="1"/>
  <c r="K8" i="3"/>
  <c r="K8" i="2" s="1"/>
  <c r="J8" i="3"/>
  <c r="J8" i="2" s="1"/>
  <c r="I8" i="3"/>
  <c r="I8" i="2" s="1"/>
  <c r="BA7" i="3"/>
  <c r="Q7" i="2" s="1"/>
  <c r="AN7" i="3"/>
  <c r="P7" i="2" s="1"/>
  <c r="AA7" i="3"/>
  <c r="O7" i="2" s="1"/>
  <c r="N7" i="3"/>
  <c r="N7" i="2" s="1"/>
  <c r="M7" i="3"/>
  <c r="M7" i="2" s="1"/>
  <c r="L7" i="3"/>
  <c r="L7" i="2" s="1"/>
  <c r="K7" i="3"/>
  <c r="K7" i="2" s="1"/>
  <c r="J7" i="3"/>
  <c r="J7" i="2" s="1"/>
  <c r="I7" i="3"/>
  <c r="I7" i="2" s="1"/>
  <c r="BA6" i="3"/>
  <c r="Q6" i="2" s="1"/>
  <c r="AN6" i="3"/>
  <c r="P6" i="2" s="1"/>
  <c r="AA6" i="3"/>
  <c r="O6" i="2" s="1"/>
  <c r="N6" i="3"/>
  <c r="N6" i="2" s="1"/>
  <c r="M6" i="3"/>
  <c r="M6" i="2" s="1"/>
  <c r="L6" i="3"/>
  <c r="L6" i="2" s="1"/>
  <c r="K6" i="3"/>
  <c r="K6" i="2" s="1"/>
  <c r="J6" i="3"/>
  <c r="J6" i="2" s="1"/>
  <c r="I6" i="3"/>
  <c r="I6" i="2" s="1"/>
  <c r="I5" i="3"/>
  <c r="I5" i="2" s="1"/>
  <c r="G42" i="2"/>
  <c r="C42" i="2"/>
  <c r="B42" i="2"/>
  <c r="A42" i="2"/>
  <c r="G41" i="2"/>
  <c r="C41" i="2"/>
  <c r="B41" i="2"/>
  <c r="A41" i="2"/>
  <c r="G40" i="2"/>
  <c r="C40" i="2"/>
  <c r="B40" i="2"/>
  <c r="A40" i="2"/>
  <c r="G39" i="2"/>
  <c r="C39" i="2"/>
  <c r="B39" i="2"/>
  <c r="A39" i="2"/>
  <c r="G38" i="2"/>
  <c r="C38" i="2"/>
  <c r="B38" i="2"/>
  <c r="A38" i="2"/>
  <c r="G37" i="2"/>
  <c r="C37" i="2"/>
  <c r="B37" i="2"/>
  <c r="A37" i="2"/>
  <c r="G36" i="2"/>
  <c r="C36" i="2"/>
  <c r="B36" i="2"/>
  <c r="A36" i="2"/>
  <c r="G35" i="2"/>
  <c r="C35" i="2"/>
  <c r="B35" i="2"/>
  <c r="A35" i="2"/>
  <c r="G34" i="2"/>
  <c r="C34" i="2"/>
  <c r="B34" i="2"/>
  <c r="A34" i="2"/>
  <c r="G33" i="2"/>
  <c r="C33" i="2"/>
  <c r="B33" i="2"/>
  <c r="A33" i="2"/>
  <c r="G32" i="2"/>
  <c r="C32" i="2"/>
  <c r="B32" i="2"/>
  <c r="A32" i="2"/>
  <c r="G31" i="2"/>
  <c r="C31" i="2"/>
  <c r="B31" i="2"/>
  <c r="A31" i="2"/>
  <c r="G30" i="2"/>
  <c r="C30" i="2"/>
  <c r="B30" i="2"/>
  <c r="A30" i="2"/>
  <c r="G29" i="2"/>
  <c r="C29" i="2"/>
  <c r="B29" i="2"/>
  <c r="A29" i="2"/>
  <c r="G28" i="2"/>
  <c r="C28" i="2"/>
  <c r="B28" i="2"/>
  <c r="A28" i="2"/>
  <c r="R20" i="2"/>
  <c r="H20" i="2"/>
  <c r="G20" i="2"/>
  <c r="F20" i="2"/>
  <c r="E20" i="2"/>
  <c r="D20" i="2"/>
  <c r="C20" i="2"/>
  <c r="B20" i="2"/>
  <c r="A20" i="2"/>
  <c r="R19" i="2"/>
  <c r="H19" i="2"/>
  <c r="G19" i="2"/>
  <c r="F19" i="2"/>
  <c r="E19" i="2"/>
  <c r="D19" i="2"/>
  <c r="C19" i="2"/>
  <c r="B19" i="2"/>
  <c r="A19" i="2"/>
  <c r="R18" i="2"/>
  <c r="H18" i="2"/>
  <c r="G18" i="2"/>
  <c r="F18" i="2"/>
  <c r="E18" i="2"/>
  <c r="D18" i="2"/>
  <c r="C18" i="2"/>
  <c r="B18" i="2"/>
  <c r="A18" i="2"/>
  <c r="R17" i="2"/>
  <c r="H17" i="2"/>
  <c r="G17" i="2"/>
  <c r="F17" i="2"/>
  <c r="E17" i="2"/>
  <c r="D17" i="2"/>
  <c r="C17" i="2"/>
  <c r="B17" i="2"/>
  <c r="A17" i="2"/>
  <c r="R16" i="2"/>
  <c r="H16" i="2"/>
  <c r="G16" i="2"/>
  <c r="F16" i="2"/>
  <c r="E16" i="2"/>
  <c r="D16" i="2"/>
  <c r="C16" i="2"/>
  <c r="B16" i="2"/>
  <c r="A16" i="2"/>
  <c r="R15" i="2"/>
  <c r="H15" i="2"/>
  <c r="G15" i="2"/>
  <c r="F15" i="2"/>
  <c r="E15" i="2"/>
  <c r="D15" i="2"/>
  <c r="C15" i="2"/>
  <c r="B15" i="2"/>
  <c r="A15" i="2"/>
  <c r="R14" i="2"/>
  <c r="H14" i="2"/>
  <c r="G14" i="2"/>
  <c r="F14" i="2"/>
  <c r="E14" i="2"/>
  <c r="D14" i="2"/>
  <c r="C14" i="2"/>
  <c r="B14" i="2"/>
  <c r="A14" i="2"/>
  <c r="R13" i="2"/>
  <c r="H13" i="2"/>
  <c r="G13" i="2"/>
  <c r="F13" i="2"/>
  <c r="E13" i="2"/>
  <c r="D13" i="2"/>
  <c r="C13" i="2"/>
  <c r="B13" i="2"/>
  <c r="A13" i="2"/>
  <c r="R12" i="2"/>
  <c r="H12" i="2"/>
  <c r="G12" i="2"/>
  <c r="F12" i="2"/>
  <c r="E12" i="2"/>
  <c r="D12" i="2"/>
  <c r="C12" i="2"/>
  <c r="B12" i="2"/>
  <c r="A12" i="2"/>
  <c r="R11" i="2"/>
  <c r="H11" i="2"/>
  <c r="G11" i="2"/>
  <c r="F11" i="2"/>
  <c r="E11" i="2"/>
  <c r="D11" i="2"/>
  <c r="C11" i="2"/>
  <c r="B11" i="2"/>
  <c r="A11" i="2"/>
  <c r="R10" i="2"/>
  <c r="H10" i="2"/>
  <c r="G10" i="2"/>
  <c r="F10" i="2"/>
  <c r="E10" i="2"/>
  <c r="D10" i="2"/>
  <c r="C10" i="2"/>
  <c r="B10" i="2"/>
  <c r="A10" i="2"/>
  <c r="R9" i="2"/>
  <c r="H9" i="2"/>
  <c r="G9" i="2"/>
  <c r="F9" i="2"/>
  <c r="E9" i="2"/>
  <c r="D9" i="2"/>
  <c r="C9" i="2"/>
  <c r="B9" i="2"/>
  <c r="A9" i="2"/>
  <c r="R8" i="2"/>
  <c r="H8" i="2"/>
  <c r="G8" i="2"/>
  <c r="F8" i="2"/>
  <c r="E8" i="2"/>
  <c r="D8" i="2"/>
  <c r="C8" i="2"/>
  <c r="B8" i="2"/>
  <c r="A8" i="2"/>
  <c r="R7" i="2"/>
  <c r="H7" i="2"/>
  <c r="G7" i="2"/>
  <c r="F7" i="2"/>
  <c r="E7" i="2"/>
  <c r="D7" i="2"/>
  <c r="C7" i="2"/>
  <c r="B7" i="2"/>
  <c r="A7" i="2"/>
  <c r="R6" i="2"/>
  <c r="H6" i="2"/>
  <c r="G6" i="2"/>
  <c r="F6" i="2"/>
  <c r="E6" i="2"/>
  <c r="D6" i="2"/>
  <c r="C6" i="2"/>
  <c r="B6" i="2"/>
  <c r="A6" i="2"/>
  <c r="R5" i="2"/>
  <c r="H5" i="2"/>
  <c r="G5" i="2"/>
  <c r="F5" i="2"/>
  <c r="E5" i="2"/>
  <c r="D5" i="2"/>
  <c r="C5" i="2"/>
  <c r="B5" i="2"/>
  <c r="A5" i="2"/>
  <c r="C74" i="1"/>
  <c r="C36" i="1" s="1"/>
  <c r="C73" i="1"/>
  <c r="C35" i="1" s="1"/>
  <c r="C72" i="1"/>
  <c r="C34" i="1" s="1"/>
  <c r="C71" i="1"/>
  <c r="C33" i="1" s="1"/>
  <c r="C70" i="1"/>
  <c r="C32" i="1" s="1"/>
  <c r="D69" i="1"/>
  <c r="C69" i="1"/>
  <c r="C31" i="1" s="1"/>
  <c r="D68" i="1"/>
  <c r="C68" i="1"/>
  <c r="C30" i="1" s="1"/>
  <c r="C67" i="1"/>
  <c r="C29" i="1" s="1"/>
  <c r="C66" i="1"/>
  <c r="C28" i="1" s="1"/>
  <c r="C65" i="1"/>
  <c r="C27" i="1" s="1"/>
  <c r="C64" i="1"/>
  <c r="C26" i="1" s="1"/>
  <c r="C63" i="1"/>
  <c r="C25" i="1" s="1"/>
  <c r="C62" i="1"/>
  <c r="C24" i="1" s="1"/>
  <c r="D61" i="1"/>
  <c r="C61" i="1"/>
  <c r="C23" i="1" s="1"/>
  <c r="D60" i="1"/>
  <c r="C60" i="1"/>
  <c r="C22" i="1" s="1"/>
  <c r="C59" i="1"/>
  <c r="C21" i="1" s="1"/>
  <c r="C58" i="1"/>
  <c r="C20" i="1" s="1"/>
  <c r="C57" i="1"/>
  <c r="C19" i="1" s="1"/>
  <c r="C56" i="1"/>
  <c r="C18" i="1" s="1"/>
  <c r="C55" i="1"/>
  <c r="C17" i="1" s="1"/>
  <c r="C54" i="1"/>
  <c r="C16" i="1" s="1"/>
  <c r="C51" i="1"/>
  <c r="C13" i="1" s="1"/>
  <c r="D50" i="1"/>
  <c r="C50" i="1"/>
  <c r="C12" i="1" s="1"/>
  <c r="C49" i="1"/>
  <c r="C11" i="1" s="1"/>
  <c r="C48" i="1"/>
  <c r="C10" i="1" s="1"/>
  <c r="C47" i="1"/>
  <c r="C9" i="1" s="1"/>
  <c r="C46" i="1"/>
  <c r="C8" i="1" s="1"/>
  <c r="C45" i="1"/>
  <c r="C7" i="1" s="1"/>
  <c r="C44" i="1"/>
  <c r="C6" i="1" s="1"/>
  <c r="D43" i="1"/>
  <c r="C43" i="1"/>
  <c r="C5" i="1" s="1"/>
  <c r="M10" i="3" l="1"/>
  <c r="M10" i="2" s="1"/>
  <c r="J10" i="3"/>
  <c r="J10" i="2" s="1"/>
  <c r="K10" i="3"/>
  <c r="K10" i="2" s="1"/>
  <c r="L10" i="3"/>
  <c r="L10" i="2" s="1"/>
  <c r="AQ42" i="3"/>
  <c r="F42" i="2" s="1"/>
  <c r="AQ35" i="3"/>
  <c r="F35" i="2" s="1"/>
  <c r="AQ32" i="3"/>
  <c r="F32" i="2" s="1"/>
  <c r="AQ38" i="3"/>
  <c r="F38" i="2" s="1"/>
  <c r="AD28" i="3"/>
  <c r="E28" i="2" s="1"/>
  <c r="AQ28" i="3"/>
  <c r="AQ29" i="3"/>
  <c r="F29" i="2" s="1"/>
  <c r="AQ39" i="3"/>
  <c r="F39" i="2" s="1"/>
  <c r="AQ36" i="3"/>
  <c r="F36" i="2" s="1"/>
  <c r="AQ33" i="3"/>
  <c r="F33" i="2" s="1"/>
  <c r="AQ30" i="3"/>
  <c r="F30" i="2" s="1"/>
  <c r="AQ40" i="3"/>
  <c r="F40" i="2" s="1"/>
  <c r="AQ37" i="3"/>
  <c r="F37" i="2" s="1"/>
  <c r="AQ34" i="3"/>
  <c r="F34" i="2" s="1"/>
  <c r="AQ31" i="3"/>
  <c r="F31" i="2" s="1"/>
  <c r="AQ41" i="3"/>
  <c r="F41" i="2" s="1"/>
  <c r="AD39" i="3"/>
  <c r="E39" i="2" s="1"/>
  <c r="AD34" i="3"/>
  <c r="E34" i="2" s="1"/>
  <c r="AD31" i="3"/>
  <c r="E31" i="2" s="1"/>
  <c r="Q42" i="3"/>
  <c r="D42" i="2" s="1"/>
  <c r="AD42" i="3"/>
  <c r="E42" i="2" s="1"/>
  <c r="AD37" i="3"/>
  <c r="E37" i="2" s="1"/>
  <c r="AD29" i="3"/>
  <c r="E29" i="2" s="1"/>
  <c r="AD32" i="3"/>
  <c r="E32" i="2" s="1"/>
  <c r="AD40" i="3"/>
  <c r="E40" i="2" s="1"/>
  <c r="AD35" i="3"/>
  <c r="E35" i="2" s="1"/>
  <c r="AD38" i="3"/>
  <c r="E38" i="2" s="1"/>
  <c r="AD30" i="3"/>
  <c r="E30" i="2" s="1"/>
  <c r="AD33" i="3"/>
  <c r="E33" i="2" s="1"/>
  <c r="AD41" i="3"/>
  <c r="E41" i="2" s="1"/>
  <c r="AD36" i="3"/>
  <c r="E36" i="2" s="1"/>
  <c r="Q35" i="3"/>
  <c r="D35" i="2" s="1"/>
  <c r="Q30" i="3"/>
  <c r="D30" i="2" s="1"/>
  <c r="Q37" i="3"/>
  <c r="D37" i="2" s="1"/>
  <c r="Q33" i="3"/>
  <c r="D33" i="2" s="1"/>
  <c r="Q28" i="3"/>
  <c r="D28" i="2" s="1"/>
  <c r="Q40" i="3"/>
  <c r="D40" i="2" s="1"/>
  <c r="Q31" i="3"/>
  <c r="D31" i="2" s="1"/>
  <c r="Q38" i="3"/>
  <c r="D38" i="2" s="1"/>
  <c r="Q29" i="3"/>
  <c r="D29" i="2" s="1"/>
  <c r="Q36" i="3"/>
  <c r="D36" i="2" s="1"/>
  <c r="Q34" i="3"/>
  <c r="D34" i="2" s="1"/>
  <c r="Q41" i="3"/>
  <c r="D41" i="2" s="1"/>
  <c r="Q32" i="3"/>
  <c r="D32" i="2" s="1"/>
  <c r="Q39" i="3"/>
  <c r="D39" i="2" s="1"/>
  <c r="G17" i="6"/>
  <c r="D89" i="1"/>
  <c r="E89" i="1"/>
  <c r="F89" i="1"/>
  <c r="D88" i="1"/>
  <c r="D12" i="1" s="1"/>
  <c r="E88" i="1"/>
  <c r="F88" i="1"/>
  <c r="D83" i="1"/>
  <c r="E83" i="1"/>
  <c r="F83" i="1"/>
  <c r="D45" i="1"/>
  <c r="D66" i="1"/>
  <c r="D58" i="1"/>
  <c r="D73" i="1"/>
  <c r="D72" i="1"/>
  <c r="D64" i="1"/>
  <c r="D74" i="1"/>
  <c r="D56" i="1"/>
  <c r="F26" i="7"/>
  <c r="D65" i="1"/>
  <c r="D57" i="1"/>
  <c r="E105" i="1"/>
  <c r="J5" i="3"/>
  <c r="J5" i="2" s="1"/>
  <c r="K5" i="3"/>
  <c r="K5" i="2" s="1"/>
  <c r="L5" i="3"/>
  <c r="L5" i="2" s="1"/>
  <c r="G44" i="3"/>
  <c r="W44" i="3"/>
  <c r="AM44" i="3"/>
  <c r="M5" i="3"/>
  <c r="M5" i="2" s="1"/>
  <c r="D110" i="1"/>
  <c r="F104" i="1"/>
  <c r="G12" i="6"/>
  <c r="D46" i="1"/>
  <c r="G15" i="6"/>
  <c r="D48" i="1"/>
  <c r="H44" i="3"/>
  <c r="X44" i="3"/>
  <c r="AN44" i="3"/>
  <c r="AO44" i="3"/>
  <c r="J44" i="3"/>
  <c r="Z44" i="3"/>
  <c r="AP44" i="3"/>
  <c r="S44" i="3"/>
  <c r="AI44" i="3"/>
  <c r="H26" i="7"/>
  <c r="G26" i="7" s="1"/>
  <c r="K44" i="3"/>
  <c r="AA44" i="3"/>
  <c r="O44" i="3"/>
  <c r="AE44" i="3"/>
  <c r="AG44" i="3"/>
  <c r="L44" i="3"/>
  <c r="AB44" i="3"/>
  <c r="Y44" i="3"/>
  <c r="D101" i="1"/>
  <c r="D25" i="1" s="1"/>
  <c r="M44" i="3"/>
  <c r="AC44" i="3"/>
  <c r="C14" i="1"/>
  <c r="N44" i="3"/>
  <c r="F110" i="1"/>
  <c r="C52" i="1"/>
  <c r="D51" i="1"/>
  <c r="G22" i="2"/>
  <c r="P44" i="3"/>
  <c r="AF44" i="3"/>
  <c r="D54" i="1"/>
  <c r="D94" i="1"/>
  <c r="F109" i="1"/>
  <c r="R44" i="3"/>
  <c r="AH44" i="3"/>
  <c r="D62" i="1"/>
  <c r="F94" i="1"/>
  <c r="D109" i="1"/>
  <c r="D33" i="1" s="1"/>
  <c r="D70" i="1"/>
  <c r="E99" i="1"/>
  <c r="I22" i="3"/>
  <c r="T44" i="3"/>
  <c r="AJ44" i="3"/>
  <c r="D100" i="1"/>
  <c r="E44" i="3"/>
  <c r="U44" i="3"/>
  <c r="AK44" i="3"/>
  <c r="I44" i="3"/>
  <c r="F44" i="3"/>
  <c r="V44" i="3"/>
  <c r="AL44" i="3"/>
  <c r="E72" i="1"/>
  <c r="L21" i="7"/>
  <c r="F72" i="1" s="1"/>
  <c r="D47" i="1"/>
  <c r="G13" i="6"/>
  <c r="L6" i="7"/>
  <c r="F57" i="1" s="1"/>
  <c r="E57" i="1"/>
  <c r="L14" i="7"/>
  <c r="F65" i="1" s="1"/>
  <c r="E65" i="1"/>
  <c r="L22" i="7"/>
  <c r="F73" i="1" s="1"/>
  <c r="E73" i="1"/>
  <c r="H7" i="6"/>
  <c r="H4" i="6"/>
  <c r="H8" i="6"/>
  <c r="H6" i="6"/>
  <c r="E43" i="1"/>
  <c r="H5" i="6"/>
  <c r="L3" i="7"/>
  <c r="E54" i="1"/>
  <c r="D44" i="1"/>
  <c r="G14" i="6"/>
  <c r="L7" i="7"/>
  <c r="F58" i="1" s="1"/>
  <c r="E58" i="1"/>
  <c r="L15" i="7"/>
  <c r="F66" i="1" s="1"/>
  <c r="E66" i="1"/>
  <c r="L23" i="7"/>
  <c r="F74" i="1" s="1"/>
  <c r="E74" i="1"/>
  <c r="C37" i="1"/>
  <c r="L8" i="7"/>
  <c r="F59" i="1" s="1"/>
  <c r="E59" i="1"/>
  <c r="L16" i="7"/>
  <c r="F67" i="1" s="1"/>
  <c r="E67" i="1"/>
  <c r="L24" i="7"/>
  <c r="F45" i="1" s="1"/>
  <c r="E45" i="1"/>
  <c r="D49" i="1"/>
  <c r="G16" i="6"/>
  <c r="E60" i="1"/>
  <c r="L9" i="7"/>
  <c r="F60" i="1" s="1"/>
  <c r="E68" i="1"/>
  <c r="L17" i="7"/>
  <c r="F68" i="1" s="1"/>
  <c r="E50" i="1"/>
  <c r="L25" i="7"/>
  <c r="F50" i="1" s="1"/>
  <c r="L19" i="7"/>
  <c r="F70" i="1" s="1"/>
  <c r="E70" i="1"/>
  <c r="L13" i="7"/>
  <c r="F64" i="1" s="1"/>
  <c r="E64" i="1"/>
  <c r="L11" i="7"/>
  <c r="F62" i="1" s="1"/>
  <c r="E62" i="1"/>
  <c r="E56" i="1"/>
  <c r="L5" i="7"/>
  <c r="F56" i="1" s="1"/>
  <c r="I22" i="2"/>
  <c r="E61" i="1"/>
  <c r="L10" i="7"/>
  <c r="F61" i="1" s="1"/>
  <c r="E69" i="1"/>
  <c r="L18" i="7"/>
  <c r="F69" i="1" s="1"/>
  <c r="D59" i="1"/>
  <c r="D67" i="1"/>
  <c r="E94" i="1"/>
  <c r="F99" i="1"/>
  <c r="D105" i="1"/>
  <c r="E110" i="1"/>
  <c r="J4" i="7"/>
  <c r="J12" i="7"/>
  <c r="J20" i="7"/>
  <c r="D95" i="1"/>
  <c r="E100" i="1"/>
  <c r="F105" i="1"/>
  <c r="D111" i="1"/>
  <c r="E95" i="1"/>
  <c r="F100" i="1"/>
  <c r="D106" i="1"/>
  <c r="D30" i="1" s="1"/>
  <c r="E111" i="1"/>
  <c r="F111" i="1"/>
  <c r="E101" i="1"/>
  <c r="E96" i="1"/>
  <c r="F101" i="1"/>
  <c r="D107" i="1"/>
  <c r="D31" i="1" s="1"/>
  <c r="E112" i="1"/>
  <c r="C75" i="1"/>
  <c r="D96" i="1"/>
  <c r="F96" i="1"/>
  <c r="D102" i="1"/>
  <c r="E107" i="1"/>
  <c r="F112" i="1"/>
  <c r="F95" i="1"/>
  <c r="F106" i="1"/>
  <c r="D55" i="1"/>
  <c r="D97" i="1"/>
  <c r="E102" i="1"/>
  <c r="F107" i="1"/>
  <c r="D92" i="1"/>
  <c r="E97" i="1"/>
  <c r="F102" i="1"/>
  <c r="D108" i="1"/>
  <c r="G10" i="6"/>
  <c r="D112" i="1"/>
  <c r="E92" i="1"/>
  <c r="F97" i="1"/>
  <c r="D103" i="1"/>
  <c r="E108" i="1"/>
  <c r="F92" i="1"/>
  <c r="D98" i="1"/>
  <c r="D22" i="1" s="1"/>
  <c r="E103" i="1"/>
  <c r="F108" i="1"/>
  <c r="E106" i="1"/>
  <c r="E98" i="1"/>
  <c r="F103" i="1"/>
  <c r="E93" i="1"/>
  <c r="F98" i="1"/>
  <c r="D104" i="1"/>
  <c r="E109" i="1"/>
  <c r="D99" i="1"/>
  <c r="D23" i="1" s="1"/>
  <c r="E104" i="1"/>
  <c r="N10" i="3" l="1"/>
  <c r="AQ44" i="3"/>
  <c r="E44" i="2"/>
  <c r="V6" i="2" s="1"/>
  <c r="D44" i="2"/>
  <c r="U6" i="2" s="1"/>
  <c r="Q44" i="3"/>
  <c r="D28" i="1"/>
  <c r="D35" i="1"/>
  <c r="D36" i="1"/>
  <c r="D20" i="1"/>
  <c r="D34" i="1"/>
  <c r="D93" i="1"/>
  <c r="D17" i="1" s="1"/>
  <c r="M22" i="2"/>
  <c r="L22" i="2"/>
  <c r="K22" i="2"/>
  <c r="J22" i="2"/>
  <c r="D7" i="1"/>
  <c r="D26" i="1"/>
  <c r="F28" i="2"/>
  <c r="F44" i="2" s="1"/>
  <c r="W6" i="2" s="1"/>
  <c r="AD44" i="3"/>
  <c r="D18" i="1"/>
  <c r="D27" i="1"/>
  <c r="E29" i="1"/>
  <c r="D19" i="1"/>
  <c r="J22" i="3"/>
  <c r="D32" i="1"/>
  <c r="K22" i="3"/>
  <c r="F34" i="1"/>
  <c r="L22" i="3"/>
  <c r="D16" i="1"/>
  <c r="C39" i="1"/>
  <c r="M22" i="3"/>
  <c r="C77" i="1"/>
  <c r="D13" i="1"/>
  <c r="E31" i="1"/>
  <c r="F12" i="1"/>
  <c r="E23" i="1"/>
  <c r="D24" i="1"/>
  <c r="F28" i="1"/>
  <c r="F27" i="1"/>
  <c r="N5" i="3"/>
  <c r="F18" i="1"/>
  <c r="E12" i="1"/>
  <c r="F36" i="1"/>
  <c r="H10" i="6"/>
  <c r="F20" i="1"/>
  <c r="F31" i="1"/>
  <c r="F23" i="1"/>
  <c r="D75" i="1"/>
  <c r="E32" i="1"/>
  <c r="F19" i="1"/>
  <c r="E26" i="1"/>
  <c r="F7" i="1"/>
  <c r="E63" i="1"/>
  <c r="E25" i="1" s="1"/>
  <c r="L12" i="7"/>
  <c r="F63" i="1" s="1"/>
  <c r="F25" i="1" s="1"/>
  <c r="E28" i="1"/>
  <c r="E47" i="1"/>
  <c r="H13" i="6"/>
  <c r="E19" i="1"/>
  <c r="E20" i="1"/>
  <c r="E44" i="1"/>
  <c r="H14" i="6"/>
  <c r="F54" i="1"/>
  <c r="E49" i="1"/>
  <c r="H16" i="6"/>
  <c r="F26" i="1"/>
  <c r="D52" i="1"/>
  <c r="E46" i="1"/>
  <c r="H12" i="6"/>
  <c r="E34" i="1"/>
  <c r="F32" i="1"/>
  <c r="E7" i="1"/>
  <c r="H15" i="6"/>
  <c r="E48" i="1"/>
  <c r="E71" i="1"/>
  <c r="E33" i="1" s="1"/>
  <c r="L20" i="7"/>
  <c r="F71" i="1" s="1"/>
  <c r="F33" i="1" s="1"/>
  <c r="I7" i="6"/>
  <c r="I6" i="6"/>
  <c r="F43" i="1"/>
  <c r="I5" i="6"/>
  <c r="I8" i="6"/>
  <c r="I4" i="6"/>
  <c r="F30" i="1"/>
  <c r="F29" i="1"/>
  <c r="E18" i="1"/>
  <c r="E30" i="1"/>
  <c r="E21" i="1"/>
  <c r="D29" i="1"/>
  <c r="E24" i="1"/>
  <c r="F22" i="1"/>
  <c r="F21" i="1"/>
  <c r="E113" i="1"/>
  <c r="F24" i="1"/>
  <c r="E22" i="1"/>
  <c r="E35" i="1"/>
  <c r="D21" i="1"/>
  <c r="E16" i="1"/>
  <c r="F35" i="1"/>
  <c r="E55" i="1"/>
  <c r="E17" i="1" s="1"/>
  <c r="L4" i="7"/>
  <c r="F55" i="1" s="1"/>
  <c r="H17" i="6"/>
  <c r="E51" i="1"/>
  <c r="E13" i="1" s="1"/>
  <c r="E36" i="1"/>
  <c r="J26" i="7"/>
  <c r="I26" i="7" s="1"/>
  <c r="E27" i="1"/>
  <c r="N10" i="2" l="1"/>
  <c r="AY10" i="3"/>
  <c r="AL10" i="3"/>
  <c r="AL22" i="3" s="1"/>
  <c r="Y10" i="3"/>
  <c r="Y22" i="3" s="1"/>
  <c r="AB10" i="3"/>
  <c r="O10" i="3"/>
  <c r="AX10" i="3"/>
  <c r="AZ10" i="3"/>
  <c r="AM10" i="3"/>
  <c r="AM22" i="3" s="1"/>
  <c r="Z10" i="3"/>
  <c r="Z22" i="3" s="1"/>
  <c r="AK10" i="3"/>
  <c r="AK22" i="3" s="1"/>
  <c r="AO10" i="3"/>
  <c r="AP10" i="3"/>
  <c r="AP22" i="3" s="1"/>
  <c r="AC10" i="3"/>
  <c r="AC22" i="3" s="1"/>
  <c r="P10" i="3"/>
  <c r="P22" i="3" s="1"/>
  <c r="U10" i="3"/>
  <c r="U22" i="3" s="1"/>
  <c r="W10" i="3"/>
  <c r="AQ10" i="3"/>
  <c r="AD10" i="3"/>
  <c r="AD22" i="3" s="1"/>
  <c r="Q10" i="3"/>
  <c r="Q22" i="3" s="1"/>
  <c r="AR10" i="3"/>
  <c r="AR22" i="3" s="1"/>
  <c r="AE10" i="3"/>
  <c r="AE22" i="3" s="1"/>
  <c r="R10" i="3"/>
  <c r="T10" i="3"/>
  <c r="T22" i="3" s="1"/>
  <c r="AS10" i="3"/>
  <c r="AF10" i="3"/>
  <c r="AF22" i="3" s="1"/>
  <c r="S10" i="3"/>
  <c r="S22" i="3" s="1"/>
  <c r="V10" i="3"/>
  <c r="V22" i="3" s="1"/>
  <c r="AT10" i="3"/>
  <c r="AT22" i="3" s="1"/>
  <c r="AG10" i="3"/>
  <c r="AG22" i="3" s="1"/>
  <c r="AU10" i="3"/>
  <c r="AU22" i="3" s="1"/>
  <c r="AH10" i="3"/>
  <c r="AH22" i="3" s="1"/>
  <c r="X10" i="3"/>
  <c r="AV10" i="3"/>
  <c r="AV22" i="3" s="1"/>
  <c r="AI10" i="3"/>
  <c r="AI22" i="3" s="1"/>
  <c r="AW10" i="3"/>
  <c r="AW22" i="3" s="1"/>
  <c r="AJ10" i="3"/>
  <c r="AJ22" i="3" s="1"/>
  <c r="D113" i="1"/>
  <c r="F93" i="1"/>
  <c r="F113" i="1" s="1"/>
  <c r="AZ22" i="3"/>
  <c r="AY22" i="3"/>
  <c r="AX22" i="3"/>
  <c r="R22" i="3"/>
  <c r="O5" i="3"/>
  <c r="X22" i="3"/>
  <c r="AS22" i="3"/>
  <c r="AQ22" i="3"/>
  <c r="W22" i="3"/>
  <c r="N5" i="2"/>
  <c r="N22" i="2" s="1"/>
  <c r="N22" i="3"/>
  <c r="I10" i="6"/>
  <c r="I13" i="6"/>
  <c r="F47" i="1"/>
  <c r="F49" i="1"/>
  <c r="I16" i="6"/>
  <c r="D37" i="1"/>
  <c r="D77" i="1"/>
  <c r="E75" i="1"/>
  <c r="E37" i="1" s="1"/>
  <c r="E52" i="1"/>
  <c r="L26" i="7"/>
  <c r="K26" i="7" s="1"/>
  <c r="F44" i="1"/>
  <c r="I14" i="6"/>
  <c r="F48" i="1"/>
  <c r="I15" i="6"/>
  <c r="I17" i="6"/>
  <c r="F51" i="1"/>
  <c r="F13" i="1" s="1"/>
  <c r="F46" i="1"/>
  <c r="I12" i="6"/>
  <c r="F16" i="1"/>
  <c r="F75" i="1"/>
  <c r="F37" i="1" l="1"/>
  <c r="BA10" i="3"/>
  <c r="Q10" i="2" s="1"/>
  <c r="AA10" i="3"/>
  <c r="O10" i="2" s="1"/>
  <c r="AN10" i="3"/>
  <c r="P10" i="2" s="1"/>
  <c r="F17" i="1"/>
  <c r="BA5" i="3"/>
  <c r="AN5" i="3"/>
  <c r="AA5" i="3"/>
  <c r="O22" i="3"/>
  <c r="AB22" i="3"/>
  <c r="AO22" i="3"/>
  <c r="F52" i="1"/>
  <c r="E77" i="1"/>
  <c r="P5" i="2" l="1"/>
  <c r="E87" i="1" s="1" a="1"/>
  <c r="E87" i="1" s="1"/>
  <c r="E11" i="1" s="1"/>
  <c r="AN22" i="3"/>
  <c r="Q5" i="2"/>
  <c r="F87" i="1" s="1" a="1"/>
  <c r="F87" i="1" s="1"/>
  <c r="F11" i="1" s="1"/>
  <c r="BA22" i="3"/>
  <c r="O5" i="2"/>
  <c r="D87" i="1" s="1" a="1"/>
  <c r="D87" i="1" s="1"/>
  <c r="D11" i="1" s="1"/>
  <c r="AA22" i="3"/>
  <c r="F77" i="1"/>
  <c r="D85" i="1" l="1" a="1"/>
  <c r="D85" i="1" s="1"/>
  <c r="D9" i="1" s="1"/>
  <c r="D86" i="1" a="1"/>
  <c r="D86" i="1" s="1"/>
  <c r="D10" i="1" s="1"/>
  <c r="F85" i="1" a="1"/>
  <c r="F85" i="1" s="1"/>
  <c r="F9" i="1" s="1"/>
  <c r="F86" i="1" a="1"/>
  <c r="F86" i="1" s="1"/>
  <c r="F10" i="1" s="1"/>
  <c r="E85" i="1" a="1"/>
  <c r="E85" i="1" s="1"/>
  <c r="E9" i="1" s="1"/>
  <c r="E86" i="1" a="1"/>
  <c r="E86" i="1" s="1"/>
  <c r="E10" i="1" s="1"/>
  <c r="F82" i="1" a="1"/>
  <c r="F82" i="1" s="1"/>
  <c r="F6" i="1" s="1"/>
  <c r="F84" i="1" a="1"/>
  <c r="F84" i="1" s="1"/>
  <c r="F8" i="1" s="1"/>
  <c r="D82" i="1" a="1"/>
  <c r="D82" i="1" s="1"/>
  <c r="D6" i="1" s="1"/>
  <c r="D84" i="1" a="1"/>
  <c r="D84" i="1" s="1"/>
  <c r="D8" i="1" s="1"/>
  <c r="E82" i="1" a="1"/>
  <c r="E82" i="1" s="1"/>
  <c r="E6" i="1" s="1"/>
  <c r="E84" i="1" a="1"/>
  <c r="E84" i="1" s="1"/>
  <c r="E8" i="1" s="1"/>
  <c r="Q22" i="2"/>
  <c r="W5" i="2" s="1"/>
  <c r="W7" i="2" s="1"/>
  <c r="F81" i="1" a="1"/>
  <c r="F81" i="1" s="1"/>
  <c r="P22" i="2"/>
  <c r="V5" i="2" s="1"/>
  <c r="V7" i="2" s="1"/>
  <c r="E81" i="1" a="1"/>
  <c r="E81" i="1" s="1"/>
  <c r="O22" i="2"/>
  <c r="U5" i="2" s="1"/>
  <c r="U7" i="2" s="1"/>
  <c r="D81" i="1" a="1"/>
  <c r="D81" i="1" s="1"/>
  <c r="F90" i="1" l="1"/>
  <c r="F5" i="1"/>
  <c r="E90" i="1"/>
  <c r="E5" i="1"/>
  <c r="D5" i="1"/>
  <c r="D90" i="1"/>
  <c r="D115" i="1" l="1"/>
  <c r="D14" i="1"/>
  <c r="E115" i="1"/>
  <c r="E39" i="1" s="1"/>
  <c r="E14" i="1"/>
  <c r="F115" i="1"/>
  <c r="F39" i="1" s="1"/>
  <c r="F14" i="1"/>
  <c r="D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<sst xmlns="http://schemas.openxmlformats.org/spreadsheetml/2006/main" count="391" uniqueCount="165">
  <si>
    <t>Data Centers</t>
  </si>
  <si>
    <t>Total</t>
  </si>
  <si>
    <t>Compensation</t>
  </si>
  <si>
    <t>Bonus</t>
  </si>
  <si>
    <t>Essentials Bonus</t>
  </si>
  <si>
    <t>Payroll Taxes</t>
  </si>
  <si>
    <t>Benefits</t>
  </si>
  <si>
    <t>Vacation</t>
  </si>
  <si>
    <t>Other</t>
  </si>
  <si>
    <t>Contract Labor</t>
  </si>
  <si>
    <t>LTIP Compensation</t>
  </si>
  <si>
    <t>Total Payroll</t>
  </si>
  <si>
    <t>Professional Fees</t>
  </si>
  <si>
    <t>Occupancy</t>
  </si>
  <si>
    <t>Office Expenses</t>
  </si>
  <si>
    <t>IT Costs</t>
  </si>
  <si>
    <t>Marketing and Presentation</t>
  </si>
  <si>
    <t>Travel and Entertainment</t>
  </si>
  <si>
    <t>Employee events</t>
  </si>
  <si>
    <t>Insurance Non Property</t>
  </si>
  <si>
    <t>Licenses</t>
  </si>
  <si>
    <t>Recruiting and Relocation</t>
  </si>
  <si>
    <t>Seminars and Training</t>
  </si>
  <si>
    <t>Shareholder Relations</t>
  </si>
  <si>
    <t>Trustees and Director Fees</t>
  </si>
  <si>
    <t>Dues and Subscriptions</t>
  </si>
  <si>
    <t>Property Management Fee</t>
  </si>
  <si>
    <t>Maintenance</t>
  </si>
  <si>
    <t>Bank Service Charges</t>
  </si>
  <si>
    <t>Charitable Contributions</t>
  </si>
  <si>
    <t>Disputed Charges</t>
  </si>
  <si>
    <t>Allocated IT &amp; Office Contra</t>
  </si>
  <si>
    <t>Total Non-Payroll</t>
  </si>
  <si>
    <t>Baseline</t>
  </si>
  <si>
    <t>Baseline Payroll</t>
  </si>
  <si>
    <t>Baseline Non-Payroll</t>
  </si>
  <si>
    <t>Incremental</t>
  </si>
  <si>
    <t>2027 Incremental Spend</t>
  </si>
  <si>
    <t>2028 Incremental Spend</t>
  </si>
  <si>
    <t>2029 Incremental Spend</t>
  </si>
  <si>
    <t>Incremental Payroll</t>
  </si>
  <si>
    <t>Incremental Non-Payroll</t>
  </si>
  <si>
    <t>Payroll / Headcount Incremental Spend</t>
  </si>
  <si>
    <t>Job Title</t>
  </si>
  <si>
    <t>Job Level</t>
  </si>
  <si>
    <t>Role / Hire</t>
  </si>
  <si>
    <t>Location (City/Country)</t>
  </si>
  <si>
    <t>Key Job Responsibilities</t>
  </si>
  <si>
    <t>Hire Date</t>
  </si>
  <si>
    <t>Base Salary</t>
  </si>
  <si>
    <t>Bonus %</t>
  </si>
  <si>
    <t>Notes / Rationale</t>
  </si>
  <si>
    <t>Spend Type</t>
  </si>
  <si>
    <t>Payroll / Headcount</t>
  </si>
  <si>
    <t>Non-Payroll</t>
  </si>
  <si>
    <t>Total Incremental Spend</t>
  </si>
  <si>
    <t>Total Payroll / Headcount Incremental Spend</t>
  </si>
  <si>
    <t>Essentials Bonus / Contract Labor / Non-Payroll Incremental Spend</t>
  </si>
  <si>
    <t>Expense Description</t>
  </si>
  <si>
    <t>Type of Expense</t>
  </si>
  <si>
    <t>Vendor</t>
  </si>
  <si>
    <t>Total Essentials Bonus / Contract Labor / Non-Payroll Incremental Spend</t>
  </si>
  <si>
    <t>Annualized Spend</t>
  </si>
  <si>
    <t>Questions to Ask - Investment Case</t>
  </si>
  <si>
    <t>#</t>
  </si>
  <si>
    <t>Question</t>
  </si>
  <si>
    <t>Guidance / What to Address</t>
  </si>
  <si>
    <t>What strategic objective or growth opportunity does this investment enable?</t>
  </si>
  <si>
    <t>• What business objective, strategic initiative, or growth opportunity does this investment support?
• How does the investment align with priorities and outcomes in the 2027–2029 business plan?</t>
  </si>
  <si>
    <t>What business milestone should trigger this investment?</t>
  </si>
  <si>
    <t>• Describe why the investment is needed now, or identify the business milestone that would warrant the investment in the future.
• Explain how the timing of the investment aligns with the expected growth of the business.</t>
  </si>
  <si>
    <t>What alternatives were considered?</t>
  </si>
  <si>
    <t>• What alternatives were evaluated before requesting incremental spend, including process improvements, AI/automation, technology solutions, third-party providers, or redeployment of existing resources?
• Why is incremental headcount or G&amp;A the most effective solution?</t>
  </si>
  <si>
    <t>What measurable business outcome will this investment deliver?</t>
  </si>
  <si>
    <t>• What are the expected business outcomes and how will success be measured?
• Tie the request to measurable growth or scale, e.g., revenue, AUM, MW deployed, customers served, operating sites, projects delivered, cost savings, or risk reduction.</t>
  </si>
  <si>
    <t>What is the impact if this investment is not approved?</t>
  </si>
  <si>
    <t>• What is the expected business impact if the investment is deferred or not approved?
• What are the implications for growth, execution of strategic initiatives, customer commitments, operational performance, financial results, or risk management?</t>
  </si>
  <si>
    <t>CC_CL</t>
  </si>
  <si>
    <t>Account</t>
  </si>
  <si>
    <t>Actual</t>
  </si>
  <si>
    <t>04/2026 - Q126 Earnings FCST</t>
  </si>
  <si>
    <t>Growth Rate</t>
  </si>
  <si>
    <t>Model</t>
  </si>
  <si>
    <t>2025</t>
  </si>
  <si>
    <t>2026</t>
  </si>
  <si>
    <t>2026 vs. 2025</t>
  </si>
  <si>
    <t>2027</t>
  </si>
  <si>
    <t>2028</t>
  </si>
  <si>
    <t>2029</t>
  </si>
  <si>
    <t xml:space="preserve">   Data Centers</t>
  </si>
  <si>
    <t xml:space="preserve">    COMP - Compensation</t>
  </si>
  <si>
    <t>From Current FCST excluding Merit</t>
  </si>
  <si>
    <t xml:space="preserve">    PAYROLL_TAX - Payroll tax</t>
  </si>
  <si>
    <t xml:space="preserve">    BEN - Benefits</t>
  </si>
  <si>
    <t xml:space="preserve">    BON - Bonus</t>
  </si>
  <si>
    <t xml:space="preserve">    VAC - Vacation</t>
  </si>
  <si>
    <t xml:space="preserve">    OTHER - Other</t>
  </si>
  <si>
    <t xml:space="preserve">   LTIP_COMP - LTIP Compensation</t>
  </si>
  <si>
    <t xml:space="preserve">   PAYROLL_TAX - Payroll tax</t>
  </si>
  <si>
    <t xml:space="preserve">   BEN - Benefits</t>
  </si>
  <si>
    <t xml:space="preserve">   BON - Bonus</t>
  </si>
  <si>
    <t xml:space="preserve">   VAC - Vacation</t>
  </si>
  <si>
    <t xml:space="preserve">   OTHER - Other</t>
  </si>
  <si>
    <t>Growth Rate Override</t>
  </si>
  <si>
    <t xml:space="preserve">   GA_PROFESSIONAL_FEES - Professional Fees</t>
  </si>
  <si>
    <t xml:space="preserve">   OCCUP - Occupancy</t>
  </si>
  <si>
    <t xml:space="preserve">   OFFICE_EXP - Office Expenses</t>
  </si>
  <si>
    <t xml:space="preserve">   IT_COSTS - IT Costs</t>
  </si>
  <si>
    <t xml:space="preserve">   MKTG_PRES - Marketing and Presentation</t>
  </si>
  <si>
    <t xml:space="preserve">   T&amp;E - Travel And Entertainment</t>
  </si>
  <si>
    <t xml:space="preserve">   EMPLOYEE_EVENTS - Employee events</t>
  </si>
  <si>
    <t xml:space="preserve">   INS_NON_PRTY - Insurance Non Property</t>
  </si>
  <si>
    <t xml:space="preserve">   LIC - Licenses</t>
  </si>
  <si>
    <t xml:space="preserve">   RECRUITING_RELOCATION - Recruiting And Relocation</t>
  </si>
  <si>
    <t xml:space="preserve">   SEM_TRG - Seminars And Training</t>
  </si>
  <si>
    <t xml:space="preserve">   SHARE_REL - Shareholder Relations</t>
  </si>
  <si>
    <t xml:space="preserve">   TRUSTEE_DIR_FEES - Trustees And Director Fees</t>
  </si>
  <si>
    <t xml:space="preserve">   DUES_SUBSCRIPTIONS - Dues And Subscriptions</t>
  </si>
  <si>
    <t xml:space="preserve">   PROP_MGMT_FEE - Property management fee</t>
  </si>
  <si>
    <t xml:space="preserve">   MAINT - Maintenance</t>
  </si>
  <si>
    <t xml:space="preserve">   BANK_SVC_CHARGES - Bank service charges</t>
  </si>
  <si>
    <t xml:space="preserve">   OTH - Other</t>
  </si>
  <si>
    <t xml:space="preserve">   CHARITABLE_CONTRIBUTIONS - Charitable Contributions</t>
  </si>
  <si>
    <t xml:space="preserve">   DISPUTED_CHARGES - Disputed Charges</t>
  </si>
  <si>
    <t xml:space="preserve">   ALLOCATED_IT_OFFICE_CONTRA - Allocated IT &amp; Office Contra</t>
  </si>
  <si>
    <t xml:space="preserve">    PYRL_BONUS - Essentials Bonus</t>
  </si>
  <si>
    <t xml:space="preserve">    CONTRACT - Contract Labor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</si>
  <si>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</si>
  <si>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</si>
  <si>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</si>
  <si>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</si>
  <si>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</si>
  <si>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</si>
  <si>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</si>
  <si>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</si>
  <si>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</si>
  <si>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</si>
  <si>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</si>
  <si>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</si>
  <si>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</si>
  <si>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</si>
  <si>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</si>
  <si>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</si>
  <si>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</si>
  <si>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</si>
  <si>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</si>
  <si>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</si>
  <si>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</si>
  <si>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</si>
  <si>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</si>
  <si>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</si>
  <si>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</si>
  <si>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</si>
  <si>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</si>
  <si>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</si>
  <si>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</si>
  <si>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</si>
  <si>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</si>
  <si>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</si>
  <si>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</si>
  <si>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</si>
  <si>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</si>
  <si>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</si>
  <si>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Investment Case Asks - Incremental Spend Input</t>
  </si>
  <si>
    <t>Incremental Spend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</si>
</sst>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* \(#,##0\);_(* &quot;-&quot;_);_(@_)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D233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75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64" fontId="2" fillId="0" borderId="0" xfId="1" applyNumberFormat="1" applyFont="1"/>
    <xf numFmtId="9" fontId="2" fillId="0" borderId="0" xfId="2" applyFont="1"/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4" fontId="4" fillId="5" borderId="3" xfId="1" applyNumberFormat="1" applyFont="1" applyFill="1" applyBorder="1" applyAlignment="1">
      <alignment vertical="center"/>
    </xf>
    <xf numFmtId="164" fontId="6" fillId="6" borderId="0" xfId="0" applyNumberFormat="1" applyFont="1" applyFill="1" applyAlignment="1">
      <alignment vertical="center"/>
    </xf>
    <xf numFmtId="164" fontId="4" fillId="5" borderId="2" xfId="1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vertical="center"/>
    </xf>
    <xf numFmtId="9" fontId="6" fillId="6" borderId="0" xfId="0" applyNumberFormat="1" applyFont="1" applyFill="1" applyAlignment="1">
      <alignment vertical="center"/>
    </xf>
    <xf numFmtId="49" fontId="8" fillId="6" borderId="0" xfId="0" quotePrefix="1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49" fontId="7" fillId="4" borderId="4" xfId="0" quotePrefix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9" fontId="7" fillId="5" borderId="4" xfId="2" applyFont="1" applyFill="1" applyBorder="1" applyAlignment="1">
      <alignment vertical="center"/>
    </xf>
    <xf numFmtId="9" fontId="8" fillId="6" borderId="0" xfId="2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center" vertical="center" wrapText="1"/>
    </xf>
    <xf numFmtId="0" fontId="10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7" fontId="4" fillId="4" borderId="0" xfId="0" applyNumberFormat="1" applyFont="1" applyFill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164" fontId="6" fillId="0" borderId="0" xfId="0" applyNumberFormat="1" applyFont="1" applyAlignment="1">
      <alignment horizontal="right" vertical="center"/>
    </xf>
    <xf numFmtId="164" fontId="4" fillId="5" borderId="0" xfId="1" applyNumberFormat="1" applyFont="1" applyFill="1" applyAlignment="1">
      <alignment vertical="center"/>
    </xf>
    <xf numFmtId="16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/>
    <xf numFmtId="0" fontId="4" fillId="5" borderId="4" xfId="0" applyFont="1" applyFill="1" applyBorder="1" applyAlignment="1">
      <alignment vertical="center"/>
    </xf>
    <xf numFmtId="0" fontId="0" fillId="0" borderId="0" xfId="0" applyProtection="1"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>
      <alignment horizontal="left" vertical="top" wrapText="1"/>
    </xf>
    <xf numFmtId="0" fontId="0" fillId="0" borderId="0" xfId="0"/>
    <xf numFmtId="0" fontId="5" fillId="2" borderId="0" xfId="0" applyFont="1" applyFill="1" applyAlignment="1" applyProtection="1">
      <alignment vertical="center"/>
      <protection locked="0"/>
    </xf>
    <xf numFmtId="17" fontId="5" fillId="2" borderId="0" xfId="0" applyNumberFormat="1" applyFont="1" applyFill="1" applyAlignment="1" applyProtection="1">
      <alignment vertical="center"/>
      <protection locked="0"/>
    </xf>
    <xf numFmtId="164" fontId="5" fillId="2" borderId="0" xfId="0" applyNumberFormat="1" applyFont="1" applyFill="1" applyAlignment="1" applyProtection="1">
      <alignment horizontal="right" vertical="center"/>
      <protection locked="0"/>
    </xf>
    <xf numFmtId="165" fontId="5" fillId="2" borderId="0" xfId="0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9" fontId="8" fillId="9" borderId="0" xfId="2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31"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numFmt numFmtId="165" formatCode="0.0%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z val="11"/>
        <color rgb="FF0070C0"/>
        <name val="Calibri"/>
      </font>
      <numFmt numFmtId="22" formatCode="mmm\-yy"/>
      <fill>
        <patternFill patternType="solid">
          <fgColor indexed="64"/>
          <bgColor rgb="FFFFFF00"/>
        </patternFill>
      </fill>
      <alignment horizontal="general"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z val="11"/>
        <color rgb="FF0070C0"/>
        <name val="Calibri"/>
      </font>
      <numFmt numFmtId="22" formatCode="mmm\-yy"/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alignment horizontal="general"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5" formatCode="0.0%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0000"/>
        <name val="Calibri"/>
      </font>
      <numFmt numFmtId="22" formatCode="mmm\-yy"/>
      <alignment horizontal="general"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0000"/>
        <name val="Calibri"/>
      </font>
      <numFmt numFmtId="22" formatCode="mmm\-yy"/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yrollIncrementalSpend" displayName="tblPayrollIncrementalSpend" ref="A4:R20" totalsRowShown="0" headerRowDxfId="130" dataDxfId="129">
  <autoFilter ref="A4:R20" xr:uid="{00000000-0009-0000-0100-000001000000}"/>
  <tableColumns count="18">
    <tableColumn id="1" xr3:uid="{00000000-0010-0000-0000-000001000000}" name="Job Title" dataDxfId="128">
      <calculatedColumnFormula>IF(ISBLANK('Investment Case Asks - Monthly'!A5),"",'Investment Case Asks - Monthly'!A5)</calculatedColumnFormula>
    </tableColumn>
    <tableColumn id="2" xr3:uid="{00000000-0010-0000-0000-000002000000}" name="Job Level" dataDxfId="127">
      <calculatedColumnFormula>IF(ISBLANK('Investment Case Asks - Monthly'!B5),"",'Investment Case Asks - Monthly'!B5)</calculatedColumnFormula>
    </tableColumn>
    <tableColumn id="3" xr3:uid="{00000000-0010-0000-0000-000003000000}" name="Role / Hire" dataDxfId="126">
      <calculatedColumnFormula>IF(ISBLANK('Investment Case Asks - Monthly'!C5),"",'Investment Case Asks - Monthly'!C5)</calculatedColumnFormula>
    </tableColumn>
    <tableColumn id="4" xr3:uid="{00000000-0010-0000-0000-000004000000}" name="Location (City/Country)" dataDxfId="125">
      <calculatedColumnFormula>IF(ISBLANK('Investment Case Asks - Monthly'!D5),"",'Investment Case Asks - Monthly'!D5)</calculatedColumnFormula>
    </tableColumn>
    <tableColumn id="5" xr3:uid="{00000000-0010-0000-0000-000005000000}" name="Key Job Responsibilities" dataDxfId="124">
      <calculatedColumnFormula>IF(ISBLANK('Investment Case Asks - Monthly'!E5),"",'Investment Case Asks - Monthly'!E5)</calculatedColumnFormula>
    </tableColumn>
    <tableColumn id="6" xr3:uid="{00000000-0010-0000-0000-000006000000}" name="Hire Date" dataDxfId="123">
      <calculatedColumnFormula>IF(ISBLANK('Investment Case Asks - Monthly'!F5),"",'Investment Case Asks - Monthly'!F5)</calculatedColumnFormula>
    </tableColumn>
    <tableColumn id="13" xr3:uid="{00000000-0010-0000-0000-00000D000000}" name="Base Salary" dataDxfId="122">
      <calculatedColumnFormula>IF(ISBLANK('Investment Case Asks - Monthly'!G5),"",'Investment Case Asks - Monthly'!G5)</calculatedColumnFormula>
    </tableColumn>
    <tableColumn id="7" xr3:uid="{00000000-0010-0000-0000-000007000000}" name="Bonus %" dataDxfId="121">
      <calculatedColumnFormula>IF(ISBLANK('Investment Case Asks - Monthly'!H5),"",'Investment Case Asks - Monthly'!H5)</calculatedColumnFormula>
    </tableColumn>
    <tableColumn id="8" xr3:uid="{00000000-0010-0000-0000-000008000000}" name="Bonus" dataDxfId="120">
      <calculatedColumnFormula>IF(ISBLANK('Investment Case Asks - Monthly'!I5),"",'Investment Case Asks - Monthly'!I5)</calculatedColumnFormula>
    </tableColumn>
    <tableColumn id="9" xr3:uid="{00000000-0010-0000-0000-000009000000}" name="Payroll Taxes" dataDxfId="119">
      <calculatedColumnFormula>IF(ISBLANK('Investment Case Asks - Monthly'!J5),"",'Investment Case Asks - Monthly'!J5)</calculatedColumnFormula>
    </tableColumn>
    <tableColumn id="10" xr3:uid="{00000000-0010-0000-0000-00000A000000}" name="Benefits" dataDxfId="118">
      <calculatedColumnFormula>IF(ISBLANK('Investment Case Asks - Monthly'!K5),"",'Investment Case Asks - Monthly'!K5)</calculatedColumnFormula>
    </tableColumn>
    <tableColumn id="11" xr3:uid="{00000000-0010-0000-0000-00000B000000}" name="Vacation" dataDxfId="117">
      <calculatedColumnFormula>IF(ISBLANK('Investment Case Asks - Monthly'!L5),"",'Investment Case Asks - Monthly'!L5)</calculatedColumnFormula>
    </tableColumn>
    <tableColumn id="12" xr3:uid="{00000000-0010-0000-0000-00000C000000}" name="Other" dataDxfId="116">
      <calculatedColumnFormula>IF(ISBLANK('Investment Case Asks - Monthly'!M5),"",'Investment Case Asks - Monthly'!M5)</calculatedColumnFormula>
    </tableColumn>
    <tableColumn id="16" xr3:uid="{00000000-0010-0000-0000-000010000000}" name="Annualized Spend" dataDxfId="115">
      <calculatedColumnFormula>IF(ISBLANK('Investment Case Asks - Monthly'!N5),"",'Investment Case Asks - Monthly'!N5)</calculatedColumnFormula>
    </tableColumn>
    <tableColumn id="14" xr3:uid="{00000000-0010-0000-0000-00000E000000}" name="2027 Incremental Spend" dataDxfId="114">
      <calculatedColumnFormula>IF(ISBLANK('Investment Case Asks - Monthly'!AA5),"",'Investment Case Asks - Monthly'!AA5)</calculatedColumnFormula>
    </tableColumn>
    <tableColumn id="17" xr3:uid="{00000000-0010-0000-0000-000011000000}" name="2028 Incremental Spend" dataDxfId="113">
      <calculatedColumnFormula>IF(ISBLANK('Investment Case Asks - Monthly'!AN5),"",'Investment Case Asks - Monthly'!AN5)</calculatedColumnFormula>
    </tableColumn>
    <tableColumn id="19" xr3:uid="{00000000-0010-0000-0000-000013000000}" name="2029 Incremental Spend" dataDxfId="112">
      <calculatedColumnFormula>IF(ISBLANK('Investment Case Asks - Monthly'!BA5),"",'Investment Case Asks - Monthly'!BA5)</calculatedColumnFormula>
    </tableColumn>
    <tableColumn id="15" xr3:uid="{00000000-0010-0000-0000-00000F000000}" name="Notes / Rationale" dataDxfId="111">
      <calculatedColumnFormula>IF(ISBLANK('Investment Case Asks - Monthly'!BB5),"",'Investment Case Asks - Monthly'!BB5)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onPayrollIncrementalSpend" displayName="tblNonPayrollIncrementalSpend" ref="A27:G42" totalsRowShown="0" headerRowDxfId="110" dataDxfId="109">
  <autoFilter ref="A27:G42" xr:uid="{00000000-0009-0000-0100-000002000000}"/>
  <tableColumns count="7">
    <tableColumn id="1" xr3:uid="{00000000-0010-0000-0100-000001000000}" name="Expense Description" dataDxfId="108">
      <calculatedColumnFormula>IF(ISBLANK('Investment Case Asks - Monthly'!A28),"",'Investment Case Asks - Monthly'!A28)</calculatedColumnFormula>
    </tableColumn>
    <tableColumn id="2" xr3:uid="{00000000-0010-0000-0100-000002000000}" name="Type of Expense" dataDxfId="107">
      <calculatedColumnFormula>IF(ISBLANK('Investment Case Asks - Monthly'!B28),"",'Investment Case Asks - Monthly'!B28)</calculatedColumnFormula>
    </tableColumn>
    <tableColumn id="3" xr3:uid="{00000000-0010-0000-0100-000003000000}" name="Vendor" dataDxfId="106">
      <calculatedColumnFormula>IF(ISBLANK('Investment Case Asks - Monthly'!C28),"",'Investment Case Asks - Monthly'!C28)</calculatedColumnFormula>
    </tableColumn>
    <tableColumn id="4" xr3:uid="{00000000-0010-0000-0100-000004000000}" name="2027 Incremental Spend" dataDxfId="105">
      <calculatedColumnFormula>IF(ISBLANK('Investment Case Asks - Monthly'!Q28),"",'Investment Case Asks - Monthly'!Q28)</calculatedColumnFormula>
    </tableColumn>
    <tableColumn id="5" xr3:uid="{00000000-0010-0000-0100-000005000000}" name="2028 Incremental Spend" dataDxfId="104">
      <calculatedColumnFormula>IF(ISBLANK('Investment Case Asks - Monthly'!AD28),"",'Investment Case Asks - Monthly'!AD28)</calculatedColumnFormula>
    </tableColumn>
    <tableColumn id="6" xr3:uid="{00000000-0010-0000-0100-000006000000}" name="2029 Incremental Spend" dataDxfId="103">
      <calculatedColumnFormula>IF(ISBLANK('Investment Case Asks - Monthly'!AQ28),"",'Investment Case Asks - Monthly'!AQ28)</calculatedColumnFormula>
    </tableColumn>
    <tableColumn id="7" xr3:uid="{00000000-0010-0000-0100-000007000000}" name="Notes / Rationale" dataDxfId="102">
      <calculatedColumnFormula>IF(ISBLANK('Investment Case Asks - Monthly'!AR28),"",'Investment Case Asks - Monthly'!AR28)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yrollIncrementalSpend2" displayName="tblPayrollIncrementalSpend2" ref="A4:BB20" totalsRowShown="0" headerRowDxfId="101" dataDxfId="100">
  <autoFilter ref="A4:BB20" xr:uid="{00000000-0009-0000-0100-000003000000}"/>
  <tableColumns count="54">
    <tableColumn id="1" xr3:uid="{00000000-0010-0000-0200-000001000000}" name="Job Title" dataDxfId="54"/>
    <tableColumn id="2" xr3:uid="{00000000-0010-0000-0200-000002000000}" name="Job Level" dataDxfId="53"/>
    <tableColumn id="3" xr3:uid="{00000000-0010-0000-0200-000003000000}" name="Role / Hire" dataDxfId="52"/>
    <tableColumn id="4" xr3:uid="{00000000-0010-0000-0200-000004000000}" name="Location (City/Country)" dataDxfId="51"/>
    <tableColumn id="5" xr3:uid="{00000000-0010-0000-0200-000005000000}" name="Key Job Responsibilities" dataDxfId="50"/>
    <tableColumn id="6" xr3:uid="{00000000-0010-0000-0200-000006000000}" name="Hire Date" dataDxfId="49"/>
    <tableColumn id="13" xr3:uid="{00000000-0010-0000-0200-00000D000000}" name="Base Salary" dataDxfId="48"/>
    <tableColumn id="7" xr3:uid="{00000000-0010-0000-0200-000007000000}" name="Bonus %" dataDxfId="46"/>
    <tableColumn id="8" xr3:uid="{00000000-0010-0000-0200-000008000000}" name="Bonus" dataDxfId="47">
      <calculatedColumnFormula>IF(OR(COUNTA(tblPayrollIncrementalSpend2[[#This Row],[Job Title]:[Hire Date]])&gt;0,AND(ROW()=ROW(G5),tblPayrollIncrementalSpend2[[#This Row],[Base Salary]]&lt;&gt;"")),N(tblPayrollIncrementalSpend2[[#This Row],[Base Salary]])*N(tblPayrollIncrementalSpend2[[#This Row],[Bonus %]]),"")</calculatedColumnFormula>
    </tableColumn>
    <tableColumn id="9" xr3:uid="{00000000-0010-0000-0200-000009000000}" name="Payroll Taxes" dataDxfId="99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Payroll'!$E$12,"")</calculatedColumnFormula>
    </tableColumn>
    <tableColumn id="10" xr3:uid="{00000000-0010-0000-0200-00000A000000}" name="Benefits" dataDxfId="98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Payroll'!$E$13,"")</calculatedColumnFormula>
    </tableColumn>
    <tableColumn id="11" xr3:uid="{00000000-0010-0000-0200-00000B000000}" name="Vacation" dataDxfId="97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Payroll'!$E$15,"")</calculatedColumnFormula>
    </tableColumn>
    <tableColumn id="12" xr3:uid="{00000000-0010-0000-0200-00000C000000}" name="Other" dataDxfId="96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Payroll'!$E$16,"")</calculatedColumnFormula>
    </tableColumn>
    <tableColumn id="16" xr3:uid="{00000000-0010-0000-0200-000010000000}" name="Annualized Spend" dataDxfId="95">
      <calculatedColumnFormula>IF(OR(COUNTA(tblPayrollIncrementalSpend2[[#This Row],[Job Title]:[Hire Date]])&gt;0,AND(ROW()=ROW(G5),tblPayrollIncrementalSpend2[[#This Row],[Base Salary]]&lt;&gt;"")),N(tblPayrollIncrementalSpend2[[#This Row],[Base Salary]])+SUM(tblPayrollIncrementalSpend2[[#This Row],[Bonus]:[Other]]),"")</calculatedColumnFormula>
    </tableColumn>
    <tableColumn id="14" xr3:uid="{00000000-0010-0000-0200-00000E000000}" name="Jan-27" dataDxfId="94">
      <calculatedColumnFormula>_xlfn.LET(_xlpm.m,IF(ISNUMBER(O$4),DATE(YEAR(O$4),MONTH(O$4),1),DATEVALUE("1-"&amp;O$4)),IF(OR(COUNTA($A5:$F5)&gt;0,$G5&lt;&gt;""),$N5/12*IF($F5="",1,MAX(0,(EOMONTH(_xlpm.m,0)-MAX($F5,_xlpm.m)+1)/(EOMONTH(_xlpm.m,0)-_xlpm.m+1))),""))</calculatedColumnFormula>
    </tableColumn>
    <tableColumn id="17" xr3:uid="{00000000-0010-0000-0200-000011000000}" name="Feb-27" dataDxfId="93">
      <calculatedColumnFormula>_xlfn.LET(_xlpm.m,IF(ISNUMBER(P$4),DATE(YEAR(P$4),MONTH(P$4),1),DATEVALUE("1-"&amp;P$4)),IF(OR(COUNTA($A5:$F5)&gt;0,$G5&lt;&gt;""),$N5/12*IF($F5="",1,MAX(0,(EOMONTH(_xlpm.m,0)-MAX($F5,_xlpm.m)+1)/(EOMONTH(_xlpm.m,0)-_xlpm.m+1))),""))</calculatedColumnFormula>
    </tableColumn>
    <tableColumn id="18" xr3:uid="{00000000-0010-0000-0200-000012000000}" name="Mar-27" dataDxfId="92">
      <calculatedColumnFormula>_xlfn.LET(_xlpm.m,IF(ISNUMBER(Q$4),DATE(YEAR(Q$4),MONTH(Q$4),1),DATEVALUE("1-"&amp;Q$4)),IF(OR(COUNTA($A5:$F5)&gt;0,$G5&lt;&gt;""),$N5/12*IF($F5="",1,MAX(0,(EOMONTH(_xlpm.m,0)-MAX($F5,_xlpm.m)+1)/(EOMONTH(_xlpm.m,0)-_xlpm.m+1))),""))</calculatedColumnFormula>
    </tableColumn>
    <tableColumn id="19" xr3:uid="{00000000-0010-0000-0200-000013000000}" name="Apr-27" dataDxfId="91">
      <calculatedColumnFormula>_xlfn.LET(_xlpm.m,IF(ISNUMBER(R$4),DATE(YEAR(R$4),MONTH(R$4),1),DATEVALUE("1-"&amp;R$4)),IF(OR(COUNTA($A5:$F5)&gt;0,$G5&lt;&gt;""),$N5/12*IF($F5="",1,MAX(0,(EOMONTH(_xlpm.m,0)-MAX($F5,_xlpm.m)+1)/(EOMONTH(_xlpm.m,0)-_xlpm.m+1))),""))</calculatedColumnFormula>
    </tableColumn>
    <tableColumn id="20" xr3:uid="{00000000-0010-0000-0200-000014000000}" name="May-27" dataDxfId="90">
      <calculatedColumnFormula>_xlfn.LET(_xlpm.m,IF(ISNUMBER(S$4),DATE(YEAR(S$4),MONTH(S$4),1),DATEVALUE("1-"&amp;S$4)),IF(OR(COUNTA($A5:$F5)&gt;0,$G5&lt;&gt;""),$N5/12*IF($F5="",1,MAX(0,(EOMONTH(_xlpm.m,0)-MAX($F5,_xlpm.m)+1)/(EOMONTH(_xlpm.m,0)-_xlpm.m+1))),""))</calculatedColumnFormula>
    </tableColumn>
    <tableColumn id="21" xr3:uid="{00000000-0010-0000-0200-000015000000}" name="Jun-27" dataDxfId="89">
      <calculatedColumnFormula>_xlfn.LET(_xlpm.m,IF(ISNUMBER(T$4),DATE(YEAR(T$4),MONTH(T$4),1),DATEVALUE("1-"&amp;T$4)),IF(OR(COUNTA($A5:$F5)&gt;0,$G5&lt;&gt;""),$N5/12*IF($F5="",1,MAX(0,(EOMONTH(_xlpm.m,0)-MAX($F5,_xlpm.m)+1)/(EOMONTH(_xlpm.m,0)-_xlpm.m+1))),""))</calculatedColumnFormula>
    </tableColumn>
    <tableColumn id="22" xr3:uid="{00000000-0010-0000-0200-000016000000}" name="Jul-27" dataDxfId="88">
      <calculatedColumnFormula>_xlfn.LET(_xlpm.m,IF(ISNUMBER(U$4),DATE(YEAR(U$4),MONTH(U$4),1),DATEVALUE("1-"&amp;U$4)),IF(OR(COUNTA($A5:$F5)&gt;0,$G5&lt;&gt;""),$N5/12*IF($F5="",1,MAX(0,(EOMONTH(_xlpm.m,0)-MAX($F5,_xlpm.m)+1)/(EOMONTH(_xlpm.m,0)-_xlpm.m+1))),""))</calculatedColumnFormula>
    </tableColumn>
    <tableColumn id="23" xr3:uid="{00000000-0010-0000-0200-000017000000}" name="Aug-27" dataDxfId="87">
      <calculatedColumnFormula>_xlfn.LET(_xlpm.m,IF(ISNUMBER(V$4),DATE(YEAR(V$4),MONTH(V$4),1),DATEVALUE("1-"&amp;V$4)),IF(OR(COUNTA($A5:$F5)&gt;0,$G5&lt;&gt;""),$N5/12*IF($F5="",1,MAX(0,(EOMONTH(_xlpm.m,0)-MAX($F5,_xlpm.m)+1)/(EOMONTH(_xlpm.m,0)-_xlpm.m+1))),""))</calculatedColumnFormula>
    </tableColumn>
    <tableColumn id="24" xr3:uid="{00000000-0010-0000-0200-000018000000}" name="Sep-27" dataDxfId="86">
      <calculatedColumnFormula>_xlfn.LET(_xlpm.m,IF(ISNUMBER(W$4),DATE(YEAR(W$4),MONTH(W$4),1),DATEVALUE("1-"&amp;W$4)),IF(OR(COUNTA($A5:$F5)&gt;0,$G5&lt;&gt;""),$N5/12*IF($F5="",1,MAX(0,(EOMONTH(_xlpm.m,0)-MAX($F5,_xlpm.m)+1)/(EOMONTH(_xlpm.m,0)-_xlpm.m+1))),""))</calculatedColumnFormula>
    </tableColumn>
    <tableColumn id="25" xr3:uid="{00000000-0010-0000-0200-000019000000}" name="Oct-27" dataDxfId="85">
      <calculatedColumnFormula>_xlfn.LET(_xlpm.m,IF(ISNUMBER(X$4),DATE(YEAR(X$4),MONTH(X$4),1),DATEVALUE("1-"&amp;X$4)),IF(OR(COUNTA($A5:$F5)&gt;0,$G5&lt;&gt;""),$N5/12*IF($F5="",1,MAX(0,(EOMONTH(_xlpm.m,0)-MAX($F5,_xlpm.m)+1)/(EOMONTH(_xlpm.m,0)-_xlpm.m+1))),""))</calculatedColumnFormula>
    </tableColumn>
    <tableColumn id="26" xr3:uid="{00000000-0010-0000-0200-00001A000000}" name="Nov-27" dataDxfId="84">
      <calculatedColumnFormula>_xlfn.LET(_xlpm.m,IF(ISNUMBER(Y$4),DATE(YEAR(Y$4),MONTH(Y$4),1),DATEVALUE("1-"&amp;Y$4)),IF(OR(COUNTA($A5:$F5)&gt;0,$G5&lt;&gt;""),$N5/12*IF($F5="",1,MAX(0,(EOMONTH(_xlpm.m,0)-MAX($F5,_xlpm.m)+1)/(EOMONTH(_xlpm.m,0)-_xlpm.m+1))),""))</calculatedColumnFormula>
    </tableColumn>
    <tableColumn id="27" xr3:uid="{00000000-0010-0000-0200-00001B000000}" name="Dec-27" dataDxfId="83">
      <calculatedColumnFormula>_xlfn.LET(_xlpm.m,IF(ISNUMBER(Z$4),DATE(YEAR(Z$4),MONTH(Z$4),1),DATEVALUE("1-"&amp;Z$4)),IF(OR(COUNTA($A5:$F5)&gt;0,$G5&lt;&gt;""),$N5/12*IF($F5="",1,MAX(0,(EOMONTH(_xlpm.m,0)-MAX($F5,_xlpm.m)+1)/(EOMONTH(_xlpm.m,0)-_xlpm.m+1))),""))</calculatedColumnFormula>
    </tableColumn>
    <tableColumn id="28" xr3:uid="{00000000-0010-0000-0200-00001C000000}" name="2027 Incremental Spend" dataDxfId="82">
      <calculatedColumnFormula>IF(OR(COUNTA($A5:$F5)&gt;0,$G5&lt;&gt;""),SUM(O5:Z5),"")</calculatedColumnFormula>
    </tableColumn>
    <tableColumn id="29" xr3:uid="{00000000-0010-0000-0200-00001D000000}" name="Jan-28" dataDxfId="81">
      <calculatedColumnFormula>_xlfn.LET(_xlpm.m,IF(ISNUMBER(AB$4),DATE(YEAR(AB$4),MONTH(AB$4),1),DATEVALUE("1-"&amp;AB$4)),IF(OR(COUNTA($A5:$F5)&gt;0,$G5&lt;&gt;""),$N5/12*IF($F5="",1,MAX(0,(EOMONTH(_xlpm.m,0)-MAX($F5,_xlpm.m)+1)/(EOMONTH(_xlpm.m,0)-_xlpm.m+1))),""))</calculatedColumnFormula>
    </tableColumn>
    <tableColumn id="30" xr3:uid="{00000000-0010-0000-0200-00001E000000}" name="Feb-28" dataDxfId="80">
      <calculatedColumnFormula>_xlfn.LET(_xlpm.m,IF(ISNUMBER(AC$4),DATE(YEAR(AC$4),MONTH(AC$4),1),DATEVALUE("1-"&amp;AC$4)),IF(OR(COUNTA($A5:$F5)&gt;0,$G5&lt;&gt;""),$N5/12*IF($F5="",1,MAX(0,(EOMONTH(_xlpm.m,0)-MAX($F5,_xlpm.m)+1)/(EOMONTH(_xlpm.m,0)-_xlpm.m+1))),""))</calculatedColumnFormula>
    </tableColumn>
    <tableColumn id="31" xr3:uid="{00000000-0010-0000-0200-00001F000000}" name="Mar-28" dataDxfId="79">
      <calculatedColumnFormula>_xlfn.LET(_xlpm.m,IF(ISNUMBER(AD$4),DATE(YEAR(AD$4),MONTH(AD$4),1),DATEVALUE("1-"&amp;AD$4)),IF(OR(COUNTA($A5:$F5)&gt;0,$G5&lt;&gt;""),$N5/12*IF($F5="",1,MAX(0,(EOMONTH(_xlpm.m,0)-MAX($F5,_xlpm.m)+1)/(EOMONTH(_xlpm.m,0)-_xlpm.m+1))),""))</calculatedColumnFormula>
    </tableColumn>
    <tableColumn id="32" xr3:uid="{00000000-0010-0000-0200-000020000000}" name="Apr-28" dataDxfId="78">
      <calculatedColumnFormula>_xlfn.LET(_xlpm.m,IF(ISNUMBER(AE$4),DATE(YEAR(AE$4),MONTH(AE$4),1),DATEVALUE("1-"&amp;AE$4)),IF(OR(COUNTA($A5:$F5)&gt;0,$G5&lt;&gt;""),$N5/12*IF($F5="",1,MAX(0,(EOMONTH(_xlpm.m,0)-MAX($F5,_xlpm.m)+1)/(EOMONTH(_xlpm.m,0)-_xlpm.m+1))),""))</calculatedColumnFormula>
    </tableColumn>
    <tableColumn id="33" xr3:uid="{00000000-0010-0000-0200-000021000000}" name="May-28" dataDxfId="77">
      <calculatedColumnFormula>_xlfn.LET(_xlpm.m,IF(ISNUMBER(AF$4),DATE(YEAR(AF$4),MONTH(AF$4),1),DATEVALUE("1-"&amp;AF$4)),IF(OR(COUNTA($A5:$F5)&gt;0,$G5&lt;&gt;""),$N5/12*IF($F5="",1,MAX(0,(EOMONTH(_xlpm.m,0)-MAX($F5,_xlpm.m)+1)/(EOMONTH(_xlpm.m,0)-_xlpm.m+1))),""))</calculatedColumnFormula>
    </tableColumn>
    <tableColumn id="34" xr3:uid="{00000000-0010-0000-0200-000022000000}" name="Jun-28" dataDxfId="76">
      <calculatedColumnFormula>_xlfn.LET(_xlpm.m,IF(ISNUMBER(AG$4),DATE(YEAR(AG$4),MONTH(AG$4),1),DATEVALUE("1-"&amp;AG$4)),IF(OR(COUNTA($A5:$F5)&gt;0,$G5&lt;&gt;""),$N5/12*IF($F5="",1,MAX(0,(EOMONTH(_xlpm.m,0)-MAX($F5,_xlpm.m)+1)/(EOMONTH(_xlpm.m,0)-_xlpm.m+1))),""))</calculatedColumnFormula>
    </tableColumn>
    <tableColumn id="35" xr3:uid="{00000000-0010-0000-0200-000023000000}" name="Jul-28" dataDxfId="75">
      <calculatedColumnFormula>_xlfn.LET(_xlpm.m,IF(ISNUMBER(AH$4),DATE(YEAR(AH$4),MONTH(AH$4),1),DATEVALUE("1-"&amp;AH$4)),IF(OR(COUNTA($A5:$F5)&gt;0,$G5&lt;&gt;""),$N5/12*IF($F5="",1,MAX(0,(EOMONTH(_xlpm.m,0)-MAX($F5,_xlpm.m)+1)/(EOMONTH(_xlpm.m,0)-_xlpm.m+1))),""))</calculatedColumnFormula>
    </tableColumn>
    <tableColumn id="36" xr3:uid="{00000000-0010-0000-0200-000024000000}" name="Aug-28" dataDxfId="74">
      <calculatedColumnFormula>_xlfn.LET(_xlpm.m,IF(ISNUMBER(AI$4),DATE(YEAR(AI$4),MONTH(AI$4),1),DATEVALUE("1-"&amp;AI$4)),IF(OR(COUNTA($A5:$F5)&gt;0,$G5&lt;&gt;""),$N5/12*IF($F5="",1,MAX(0,(EOMONTH(_xlpm.m,0)-MAX($F5,_xlpm.m)+1)/(EOMONTH(_xlpm.m,0)-_xlpm.m+1))),""))</calculatedColumnFormula>
    </tableColumn>
    <tableColumn id="37" xr3:uid="{00000000-0010-0000-0200-000025000000}" name="Sep-28" dataDxfId="73">
      <calculatedColumnFormula>_xlfn.LET(_xlpm.m,IF(ISNUMBER(AJ$4),DATE(YEAR(AJ$4),MONTH(AJ$4),1),DATEVALUE("1-"&amp;AJ$4)),IF(OR(COUNTA($A5:$F5)&gt;0,$G5&lt;&gt;""),$N5/12*IF($F5="",1,MAX(0,(EOMONTH(_xlpm.m,0)-MAX($F5,_xlpm.m)+1)/(EOMONTH(_xlpm.m,0)-_xlpm.m+1))),""))</calculatedColumnFormula>
    </tableColumn>
    <tableColumn id="38" xr3:uid="{00000000-0010-0000-0200-000026000000}" name="Oct-28" dataDxfId="72">
      <calculatedColumnFormula>_xlfn.LET(_xlpm.m,IF(ISNUMBER(AK$4),DATE(YEAR(AK$4),MONTH(AK$4),1),DATEVALUE("1-"&amp;AK$4)),IF(OR(COUNTA($A5:$F5)&gt;0,$G5&lt;&gt;""),$N5/12*IF($F5="",1,MAX(0,(EOMONTH(_xlpm.m,0)-MAX($F5,_xlpm.m)+1)/(EOMONTH(_xlpm.m,0)-_xlpm.m+1))),""))</calculatedColumnFormula>
    </tableColumn>
    <tableColumn id="39" xr3:uid="{00000000-0010-0000-0200-000027000000}" name="Nov-28" dataDxfId="71">
      <calculatedColumnFormula>_xlfn.LET(_xlpm.m,IF(ISNUMBER(AL$4),DATE(YEAR(AL$4),MONTH(AL$4),1),DATEVALUE("1-"&amp;AL$4)),IF(OR(COUNTA($A5:$F5)&gt;0,$G5&lt;&gt;""),$N5/12*IF($F5="",1,MAX(0,(EOMONTH(_xlpm.m,0)-MAX($F5,_xlpm.m)+1)/(EOMONTH(_xlpm.m,0)-_xlpm.m+1))),""))</calculatedColumnFormula>
    </tableColumn>
    <tableColumn id="40" xr3:uid="{00000000-0010-0000-0200-000028000000}" name="Dec-28" dataDxfId="70">
      <calculatedColumnFormula>_xlfn.LET(_xlpm.m,IF(ISNUMBER(AM$4),DATE(YEAR(AM$4),MONTH(AM$4),1),DATEVALUE("1-"&amp;AM$4)),IF(OR(COUNTA($A5:$F5)&gt;0,$G5&lt;&gt;""),$N5/12*IF($F5="",1,MAX(0,(EOMONTH(_xlpm.m,0)-MAX($F5,_xlpm.m)+1)/(EOMONTH(_xlpm.m,0)-_xlpm.m+1))),""))</calculatedColumnFormula>
    </tableColumn>
    <tableColumn id="41" xr3:uid="{00000000-0010-0000-0200-000029000000}" name="2028 Incremental Spend" dataDxfId="69">
      <calculatedColumnFormula>IF(OR(COUNTA($A5:$F5)&gt;0,$G5&lt;&gt;""),SUM(AB5:AM5),"")</calculatedColumnFormula>
    </tableColumn>
    <tableColumn id="42" xr3:uid="{00000000-0010-0000-0200-00002A000000}" name="Jan-29" dataDxfId="68">
      <calculatedColumnFormula>_xlfn.LET(_xlpm.m,IF(ISNUMBER(AO$4),DATE(YEAR(AO$4),MONTH(AO$4),1),DATEVALUE("1-"&amp;AO$4)),IF(OR(COUNTA($A5:$F5)&gt;0,$G5&lt;&gt;""),$N5/12*IF($F5="",1,MAX(0,(EOMONTH(_xlpm.m,0)-MAX($F5,_xlpm.m)+1)/(EOMONTH(_xlpm.m,0)-_xlpm.m+1))),""))</calculatedColumnFormula>
    </tableColumn>
    <tableColumn id="43" xr3:uid="{00000000-0010-0000-0200-00002B000000}" name="Feb-29" dataDxfId="67">
      <calculatedColumnFormula>_xlfn.LET(_xlpm.m,IF(ISNUMBER(AP$4),DATE(YEAR(AP$4),MONTH(AP$4),1),DATEVALUE("1-"&amp;AP$4)),IF(OR(COUNTA($A5:$F5)&gt;0,$G5&lt;&gt;""),$N5/12*IF($F5="",1,MAX(0,(EOMONTH(_xlpm.m,0)-MAX($F5,_xlpm.m)+1)/(EOMONTH(_xlpm.m,0)-_xlpm.m+1))),""))</calculatedColumnFormula>
    </tableColumn>
    <tableColumn id="44" xr3:uid="{00000000-0010-0000-0200-00002C000000}" name="Mar-29" dataDxfId="66">
      <calculatedColumnFormula>_xlfn.LET(_xlpm.m,IF(ISNUMBER(AQ$4),DATE(YEAR(AQ$4),MONTH(AQ$4),1),DATEVALUE("1-"&amp;AQ$4)),IF(OR(COUNTA($A5:$F5)&gt;0,$G5&lt;&gt;""),$N5/12*IF($F5="",1,MAX(0,(EOMONTH(_xlpm.m,0)-MAX($F5,_xlpm.m)+1)/(EOMONTH(_xlpm.m,0)-_xlpm.m+1))),""))</calculatedColumnFormula>
    </tableColumn>
    <tableColumn id="45" xr3:uid="{00000000-0010-0000-0200-00002D000000}" name="Apr-29" dataDxfId="65">
      <calculatedColumnFormula>_xlfn.LET(_xlpm.m,IF(ISNUMBER(AR$4),DATE(YEAR(AR$4),MONTH(AR$4),1),DATEVALUE("1-"&amp;AR$4)),IF(OR(COUNTA($A5:$F5)&gt;0,$G5&lt;&gt;""),$N5/12*IF($F5="",1,MAX(0,(EOMONTH(_xlpm.m,0)-MAX($F5,_xlpm.m)+1)/(EOMONTH(_xlpm.m,0)-_xlpm.m+1))),""))</calculatedColumnFormula>
    </tableColumn>
    <tableColumn id="46" xr3:uid="{00000000-0010-0000-0200-00002E000000}" name="May-29" dataDxfId="64">
      <calculatedColumnFormula>_xlfn.LET(_xlpm.m,IF(ISNUMBER(AS$4),DATE(YEAR(AS$4),MONTH(AS$4),1),DATEVALUE("1-"&amp;AS$4)),IF(OR(COUNTA($A5:$F5)&gt;0,$G5&lt;&gt;""),$N5/12*IF($F5="",1,MAX(0,(EOMONTH(_xlpm.m,0)-MAX($F5,_xlpm.m)+1)/(EOMONTH(_xlpm.m,0)-_xlpm.m+1))),""))</calculatedColumnFormula>
    </tableColumn>
    <tableColumn id="47" xr3:uid="{00000000-0010-0000-0200-00002F000000}" name="Jun-29" dataDxfId="63">
      <calculatedColumnFormula>_xlfn.LET(_xlpm.m,IF(ISNUMBER(AT$4),DATE(YEAR(AT$4),MONTH(AT$4),1),DATEVALUE("1-"&amp;AT$4)),IF(OR(COUNTA($A5:$F5)&gt;0,$G5&lt;&gt;""),$N5/12*IF($F5="",1,MAX(0,(EOMONTH(_xlpm.m,0)-MAX($F5,_xlpm.m)+1)/(EOMONTH(_xlpm.m,0)-_xlpm.m+1))),""))</calculatedColumnFormula>
    </tableColumn>
    <tableColumn id="48" xr3:uid="{00000000-0010-0000-0200-000030000000}" name="Jul-29" dataDxfId="62">
      <calculatedColumnFormula>_xlfn.LET(_xlpm.m,IF(ISNUMBER(AU$4),DATE(YEAR(AU$4),MONTH(AU$4),1),DATEVALUE("1-"&amp;AU$4)),IF(OR(COUNTA($A5:$F5)&gt;0,$G5&lt;&gt;""),$N5/12*IF($F5="",1,MAX(0,(EOMONTH(_xlpm.m,0)-MAX($F5,_xlpm.m)+1)/(EOMONTH(_xlpm.m,0)-_xlpm.m+1))),""))</calculatedColumnFormula>
    </tableColumn>
    <tableColumn id="49" xr3:uid="{00000000-0010-0000-0200-000031000000}" name="Aug-29" dataDxfId="61">
      <calculatedColumnFormula>_xlfn.LET(_xlpm.m,IF(ISNUMBER(AV$4),DATE(YEAR(AV$4),MONTH(AV$4),1),DATEVALUE("1-"&amp;AV$4)),IF(OR(COUNTA($A5:$F5)&gt;0,$G5&lt;&gt;""),$N5/12*IF($F5="",1,MAX(0,(EOMONTH(_xlpm.m,0)-MAX($F5,_xlpm.m)+1)/(EOMONTH(_xlpm.m,0)-_xlpm.m+1))),""))</calculatedColumnFormula>
    </tableColumn>
    <tableColumn id="50" xr3:uid="{00000000-0010-0000-0200-000032000000}" name="Sep-29" dataDxfId="60">
      <calculatedColumnFormula>_xlfn.LET(_xlpm.m,IF(ISNUMBER(AW$4),DATE(YEAR(AW$4),MONTH(AW$4),1),DATEVALUE("1-"&amp;AW$4)),IF(OR(COUNTA($A5:$F5)&gt;0,$G5&lt;&gt;""),$N5/12*IF($F5="",1,MAX(0,(EOMONTH(_xlpm.m,0)-MAX($F5,_xlpm.m)+1)/(EOMONTH(_xlpm.m,0)-_xlpm.m+1))),""))</calculatedColumnFormula>
    </tableColumn>
    <tableColumn id="51" xr3:uid="{00000000-0010-0000-0200-000033000000}" name="Oct-29" dataDxfId="59">
      <calculatedColumnFormula>_xlfn.LET(_xlpm.m,IF(ISNUMBER(AX$4),DATE(YEAR(AX$4),MONTH(AX$4),1),DATEVALUE("1-"&amp;AX$4)),IF(OR(COUNTA($A5:$F5)&gt;0,$G5&lt;&gt;""),$N5/12*IF($F5="",1,MAX(0,(EOMONTH(_xlpm.m,0)-MAX($F5,_xlpm.m)+1)/(EOMONTH(_xlpm.m,0)-_xlpm.m+1))),""))</calculatedColumnFormula>
    </tableColumn>
    <tableColumn id="52" xr3:uid="{00000000-0010-0000-0200-000034000000}" name="Nov-29" dataDxfId="58">
      <calculatedColumnFormula>_xlfn.LET(_xlpm.m,IF(ISNUMBER(AY$4),DATE(YEAR(AY$4),MONTH(AY$4),1),DATEVALUE("1-"&amp;AY$4)),IF(OR(COUNTA($A5:$F5)&gt;0,$G5&lt;&gt;""),$N5/12*IF($F5="",1,MAX(0,(EOMONTH(_xlpm.m,0)-MAX($F5,_xlpm.m)+1)/(EOMONTH(_xlpm.m,0)-_xlpm.m+1))),""))</calculatedColumnFormula>
    </tableColumn>
    <tableColumn id="53" xr3:uid="{00000000-0010-0000-0200-000035000000}" name="Dec-29" dataDxfId="57">
      <calculatedColumnFormula>_xlfn.LET(_xlpm.m,IF(ISNUMBER(AZ$4),DATE(YEAR(AZ$4),MONTH(AZ$4),1),DATEVALUE("1-"&amp;AZ$4)),IF(OR(COUNTA($A5:$F5)&gt;0,$G5&lt;&gt;""),$N5/12*IF($F5="",1,MAX(0,(EOMONTH(_xlpm.m,0)-MAX($F5,_xlpm.m)+1)/(EOMONTH(_xlpm.m,0)-_xlpm.m+1))),""))</calculatedColumnFormula>
    </tableColumn>
    <tableColumn id="54" xr3:uid="{00000000-0010-0000-0200-000036000000}" name="2029 Incremental Spend" dataDxfId="1">
      <calculatedColumnFormula>IF(OR(COUNTA($A5:$F5)&gt;0,$G5&lt;&gt;""),SUM(AO5:AZ5),"")</calculatedColumnFormula>
    </tableColumn>
    <tableColumn id="15" xr3:uid="{00000000-0010-0000-0200-00000F000000}" name="Notes / Rational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NonPayrollIncrementalSpend3" displayName="tblNonPayrollIncrementalSpend3" ref="A27:AR42" totalsRowShown="0" headerRowDxfId="56" dataDxfId="55">
  <autoFilter ref="A27:AR42" xr:uid="{00000000-0009-0000-0100-000004000000}"/>
  <tableColumns count="44">
    <tableColumn id="1" xr3:uid="{00000000-0010-0000-0300-000001000000}" name="Expense Description" dataDxfId="45"/>
    <tableColumn id="2" xr3:uid="{00000000-0010-0000-0300-000002000000}" name="Type of Expense" dataDxfId="44"/>
    <tableColumn id="3" xr3:uid="{00000000-0010-0000-0300-000003000000}" name="Vendor" dataDxfId="43"/>
    <tableColumn id="4" xr3:uid="{00000000-0010-0000-0300-000004000000}" name="Annualized Spend" dataDxfId="42"/>
    <tableColumn id="5" xr3:uid="{00000000-0010-0000-0300-000005000000}" name="Jan-27" dataDxfId="41">
      <calculatedColumnFormula>IF(OR(COUNTA($A28:$C28)&gt;0,$D28&lt;&gt;""),N($D28)/12,"")</calculatedColumnFormula>
    </tableColumn>
    <tableColumn id="6" xr3:uid="{00000000-0010-0000-0300-000006000000}" name="Feb-27" dataDxfId="40">
      <calculatedColumnFormula>IF(OR(COUNTA($A28:$C28)&gt;0,$D28&lt;&gt;""),N($D28)/12,"")</calculatedColumnFormula>
    </tableColumn>
    <tableColumn id="7" xr3:uid="{00000000-0010-0000-0300-000007000000}" name="Mar-27" dataDxfId="39">
      <calculatedColumnFormula>IF(OR(COUNTA($A28:$C28)&gt;0,$D28&lt;&gt;""),N($D28)/12,"")</calculatedColumnFormula>
    </tableColumn>
    <tableColumn id="8" xr3:uid="{00000000-0010-0000-0300-000008000000}" name="Apr-27" dataDxfId="38">
      <calculatedColumnFormula>IF(OR(COUNTA($A28:$C28)&gt;0,$D28&lt;&gt;""),N($D28)/12,"")</calculatedColumnFormula>
    </tableColumn>
    <tableColumn id="9" xr3:uid="{00000000-0010-0000-0300-000009000000}" name="May-27" dataDxfId="37">
      <calculatedColumnFormula>IF(OR(COUNTA($A28:$C28)&gt;0,$D28&lt;&gt;""),N($D28)/12,"")</calculatedColumnFormula>
    </tableColumn>
    <tableColumn id="10" xr3:uid="{00000000-0010-0000-0300-00000A000000}" name="Jun-27" dataDxfId="36">
      <calculatedColumnFormula>IF(OR(COUNTA($A28:$C28)&gt;0,$D28&lt;&gt;""),N($D28)/12,"")</calculatedColumnFormula>
    </tableColumn>
    <tableColumn id="11" xr3:uid="{00000000-0010-0000-0300-00000B000000}" name="Jul-27" dataDxfId="35">
      <calculatedColumnFormula>IF(OR(COUNTA($A28:$C28)&gt;0,$D28&lt;&gt;""),N($D28)/12,"")</calculatedColumnFormula>
    </tableColumn>
    <tableColumn id="12" xr3:uid="{00000000-0010-0000-0300-00000C000000}" name="Aug-27" dataDxfId="34">
      <calculatedColumnFormula>IF(OR(COUNTA($A28:$C28)&gt;0,$D28&lt;&gt;""),N($D28)/12,"")</calculatedColumnFormula>
    </tableColumn>
    <tableColumn id="13" xr3:uid="{00000000-0010-0000-0300-00000D000000}" name="Sep-27" dataDxfId="33">
      <calculatedColumnFormula>IF(OR(COUNTA($A28:$C28)&gt;0,$D28&lt;&gt;""),N($D28)/12,"")</calculatedColumnFormula>
    </tableColumn>
    <tableColumn id="14" xr3:uid="{00000000-0010-0000-0300-00000E000000}" name="Oct-27" dataDxfId="32">
      <calculatedColumnFormula>IF(OR(COUNTA($A28:$C28)&gt;0,$D28&lt;&gt;""),N($D28)/12,"")</calculatedColumnFormula>
    </tableColumn>
    <tableColumn id="15" xr3:uid="{00000000-0010-0000-0300-00000F000000}" name="Nov-27" dataDxfId="31">
      <calculatedColumnFormula>IF(OR(COUNTA($A28:$C28)&gt;0,$D28&lt;&gt;""),N($D28)/12,"")</calculatedColumnFormula>
    </tableColumn>
    <tableColumn id="16" xr3:uid="{00000000-0010-0000-0300-000010000000}" name="Dec-27" dataDxfId="30">
      <calculatedColumnFormula>IF(OR(COUNTA($A28:$C28)&gt;0,$D28&lt;&gt;""),N($D28)/12,"")</calculatedColumnFormula>
    </tableColumn>
    <tableColumn id="17" xr3:uid="{00000000-0010-0000-0300-000011000000}" name="2027 Incremental Spend" dataDxfId="29">
      <calculatedColumnFormula>IF(OR(COUNTA($A28:$C28)&gt;0,$D28&lt;&gt;""),SUM(E28:P28),"")</calculatedColumnFormula>
    </tableColumn>
    <tableColumn id="18" xr3:uid="{00000000-0010-0000-0300-000012000000}" name="Jan-28" dataDxfId="28">
      <calculatedColumnFormula>IF(OR(COUNTA($A28:$C28)&gt;0,$D28&lt;&gt;""),N($D28)/12,"")</calculatedColumnFormula>
    </tableColumn>
    <tableColumn id="19" xr3:uid="{00000000-0010-0000-0300-000013000000}" name="Feb-28" dataDxfId="27">
      <calculatedColumnFormula>IF(OR(COUNTA($A28:$C28)&gt;0,$D28&lt;&gt;""),N($D28)/12,"")</calculatedColumnFormula>
    </tableColumn>
    <tableColumn id="20" xr3:uid="{00000000-0010-0000-0300-000014000000}" name="Mar-28" dataDxfId="26">
      <calculatedColumnFormula>IF(OR(COUNTA($A28:$C28)&gt;0,$D28&lt;&gt;""),N($D28)/12,"")</calculatedColumnFormula>
    </tableColumn>
    <tableColumn id="21" xr3:uid="{00000000-0010-0000-0300-000015000000}" name="Apr-28" dataDxfId="25">
      <calculatedColumnFormula>IF(OR(COUNTA($A28:$C28)&gt;0,$D28&lt;&gt;""),N($D28)/12,"")</calculatedColumnFormula>
    </tableColumn>
    <tableColumn id="22" xr3:uid="{00000000-0010-0000-0300-000016000000}" name="May-28" dataDxfId="24">
      <calculatedColumnFormula>IF(OR(COUNTA($A28:$C28)&gt;0,$D28&lt;&gt;""),N($D28)/12,"")</calculatedColumnFormula>
    </tableColumn>
    <tableColumn id="23" xr3:uid="{00000000-0010-0000-0300-000017000000}" name="Jun-28" dataDxfId="23">
      <calculatedColumnFormula>IF(OR(COUNTA($A28:$C28)&gt;0,$D28&lt;&gt;""),N($D28)/12,"")</calculatedColumnFormula>
    </tableColumn>
    <tableColumn id="24" xr3:uid="{00000000-0010-0000-0300-000018000000}" name="Jul-28" dataDxfId="22">
      <calculatedColumnFormula>IF(OR(COUNTA($A28:$C28)&gt;0,$D28&lt;&gt;""),N($D28)/12,"")</calculatedColumnFormula>
    </tableColumn>
    <tableColumn id="25" xr3:uid="{00000000-0010-0000-0300-000019000000}" name="Aug-28" dataDxfId="21">
      <calculatedColumnFormula>IF(OR(COUNTA($A28:$C28)&gt;0,$D28&lt;&gt;""),N($D28)/12,"")</calculatedColumnFormula>
    </tableColumn>
    <tableColumn id="26" xr3:uid="{00000000-0010-0000-0300-00001A000000}" name="Sep-28" dataDxfId="20">
      <calculatedColumnFormula>IF(OR(COUNTA($A28:$C28)&gt;0,$D28&lt;&gt;""),N($D28)/12,"")</calculatedColumnFormula>
    </tableColumn>
    <tableColumn id="27" xr3:uid="{00000000-0010-0000-0300-00001B000000}" name="Oct-28" dataDxfId="19">
      <calculatedColumnFormula>IF(OR(COUNTA($A28:$C28)&gt;0,$D28&lt;&gt;""),N($D28)/12,"")</calculatedColumnFormula>
    </tableColumn>
    <tableColumn id="28" xr3:uid="{00000000-0010-0000-0300-00001C000000}" name="Nov-28" dataDxfId="18">
      <calculatedColumnFormula>IF(OR(COUNTA($A28:$C28)&gt;0,$D28&lt;&gt;""),N($D28)/12,"")</calculatedColumnFormula>
    </tableColumn>
    <tableColumn id="29" xr3:uid="{00000000-0010-0000-0300-00001D000000}" name="Dec-28" dataDxfId="17">
      <calculatedColumnFormula>IF(OR(COUNTA($A28:$C28)&gt;0,$D28&lt;&gt;""),N($D28)/12,"")</calculatedColumnFormula>
    </tableColumn>
    <tableColumn id="30" xr3:uid="{00000000-0010-0000-0300-00001E000000}" name="2028 Incremental Spend" dataDxfId="16">
      <calculatedColumnFormula>IF(OR(COUNTA($A28:$C28)&gt;0,$D28&lt;&gt;""),SUM(R28:AC28),"")</calculatedColumnFormula>
    </tableColumn>
    <tableColumn id="31" xr3:uid="{00000000-0010-0000-0300-00001F000000}" name="Jan-29" dataDxfId="15">
      <calculatedColumnFormula>IF(OR(COUNTA($A28:$C28)&gt;0,$D28&lt;&gt;""),N($D28)/12,"")</calculatedColumnFormula>
    </tableColumn>
    <tableColumn id="32" xr3:uid="{00000000-0010-0000-0300-000020000000}" name="Feb-29" dataDxfId="14">
      <calculatedColumnFormula>IF(OR(COUNTA($A28:$C28)&gt;0,$D28&lt;&gt;""),N($D28)/12,"")</calculatedColumnFormula>
    </tableColumn>
    <tableColumn id="33" xr3:uid="{00000000-0010-0000-0300-000021000000}" name="Mar-29" dataDxfId="13">
      <calculatedColumnFormula>IF(OR(COUNTA($A28:$C28)&gt;0,$D28&lt;&gt;""),N($D28)/12,"")</calculatedColumnFormula>
    </tableColumn>
    <tableColumn id="34" xr3:uid="{00000000-0010-0000-0300-000022000000}" name="Apr-29" dataDxfId="12">
      <calculatedColumnFormula>IF(OR(COUNTA($A28:$C28)&gt;0,$D28&lt;&gt;""),N($D28)/12,"")</calculatedColumnFormula>
    </tableColumn>
    <tableColumn id="35" xr3:uid="{00000000-0010-0000-0300-000023000000}" name="May-29" dataDxfId="11">
      <calculatedColumnFormula>IF(OR(COUNTA($A28:$C28)&gt;0,$D28&lt;&gt;""),N($D28)/12,"")</calculatedColumnFormula>
    </tableColumn>
    <tableColumn id="36" xr3:uid="{00000000-0010-0000-0300-000024000000}" name="Jun-29" dataDxfId="10">
      <calculatedColumnFormula>IF(OR(COUNTA($A28:$C28)&gt;0,$D28&lt;&gt;""),N($D28)/12,"")</calculatedColumnFormula>
    </tableColumn>
    <tableColumn id="37" xr3:uid="{00000000-0010-0000-0300-000025000000}" name="Jul-29" dataDxfId="9">
      <calculatedColumnFormula>IF(OR(COUNTA($A28:$C28)&gt;0,$D28&lt;&gt;""),N($D28)/12,"")</calculatedColumnFormula>
    </tableColumn>
    <tableColumn id="38" xr3:uid="{00000000-0010-0000-0300-000026000000}" name="Aug-29" dataDxfId="8">
      <calculatedColumnFormula>IF(OR(COUNTA($A28:$C28)&gt;0,$D28&lt;&gt;""),N($D28)/12,"")</calculatedColumnFormula>
    </tableColumn>
    <tableColumn id="39" xr3:uid="{00000000-0010-0000-0300-000027000000}" name="Sep-29" dataDxfId="7">
      <calculatedColumnFormula>IF(OR(COUNTA($A28:$C28)&gt;0,$D28&lt;&gt;""),N($D28)/12,"")</calculatedColumnFormula>
    </tableColumn>
    <tableColumn id="40" xr3:uid="{00000000-0010-0000-0300-000028000000}" name="Oct-29" dataDxfId="6">
      <calculatedColumnFormula>IF(OR(COUNTA($A28:$C28)&gt;0,$D28&lt;&gt;""),N($D28)/12,"")</calculatedColumnFormula>
    </tableColumn>
    <tableColumn id="41" xr3:uid="{00000000-0010-0000-0300-000029000000}" name="Nov-29" dataDxfId="5">
      <calculatedColumnFormula>IF(OR(COUNTA($A28:$C28)&gt;0,$D28&lt;&gt;""),N($D28)/12,"")</calculatedColumnFormula>
    </tableColumn>
    <tableColumn id="42" xr3:uid="{00000000-0010-0000-0300-00002A000000}" name="Dec-29" dataDxfId="4">
      <calculatedColumnFormula>IF(OR(COUNTA($A28:$C28)&gt;0,$D28&lt;&gt;""),N($D28)/12,"")</calculatedColumnFormula>
    </tableColumn>
    <tableColumn id="43" xr3:uid="{00000000-0010-0000-0300-00002B000000}" name="2029 Incremental Spend" dataDxfId="3">
      <calculatedColumnFormula>SUM(tblNonPayrollIncrementalSpend3[[#This Row],[Jan-27]:[Dec-27]])</calculatedColumnFormula>
    </tableColumn>
    <tableColumn id="44" xr3:uid="{00000000-0010-0000-0300-00002C000000}" name="Notes / Rationa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070B69-BACB-4F75-A945-4355BA08071F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15"/>
  <sheetViews>
    <sheetView tabSelected="1" zoomScale="70" zoomScaleNormal="70" workbookViewId="0">
      <selection activeCell="C29" sqref="C29"/>
    </sheetView>
  </sheetViews>
  <sheetFormatPr defaultRowHeight="14.5" outlineLevelRow="1" x14ac:dyDescent="0.35"/>
  <cols>
    <col min="2" max="2" width="42.81640625" bestFit="1" customWidth="1"/>
    <col min="3" max="3" width="37.7265625" bestFit="1" customWidth="1"/>
    <col min="4" max="6" width="28.6328125" bestFit="1" customWidth="1"/>
    <col min="10" max="10" width="29.1796875" customWidth="1"/>
    <col min="11" max="11" width="13.36328125" bestFit="1" customWidth="1"/>
    <col min="12" max="13" width="13.7265625" bestFit="1" customWidth="1"/>
    <col min="14" max="14" width="25.54296875" bestFit="1" customWidth="1"/>
  </cols>
  <sheetData>
    <row r="1" spans="2:6" ht="23.5" x14ac:dyDescent="0.55000000000000004">
      <c r="B1" s="47" t="s">
        <v>0</v>
      </c>
    </row>
    <row r="2" spans="2:6" ht="23.5" x14ac:dyDescent="0.55000000000000004">
      <c r="B2" s="47"/>
    </row>
    <row r="3" spans="2:6" x14ac:dyDescent="0.35">
      <c r="B3" s="2" t="s">
        <v>1</v>
      </c>
      <c r="C3" s="2"/>
      <c r="D3" s="2"/>
      <c r="E3" s="2"/>
      <c r="F3" s="2"/>
    </row>
    <row r="4" spans="2:6" s="8" customFormat="1" x14ac:dyDescent="0.35">
      <c r="B4" s="10"/>
      <c r="C4" s="10">
        <v>2026</v>
      </c>
      <c r="D4" s="10">
        <v>2027</v>
      </c>
      <c r="E4" s="10">
        <v>2028</v>
      </c>
      <c r="F4" s="10">
        <v>2029</v>
      </c>
    </row>
    <row r="5" spans="2:6" outlineLevel="1" x14ac:dyDescent="0.35">
      <c r="B5" s="9" t="s">
        <v>2</v>
      </c>
      <c r="C5" s="14">
        <f t="shared" ref="C5:F13" si="0">C43+C81</f>
        <v>12484861.149608999</v>
      </c>
      <c r="D5" s="14">
        <f t="shared" si="0"/>
        <v>15345428.987732001</v>
      </c>
      <c r="E5" s="14">
        <f t="shared" si="0"/>
        <v>15345428.987732001</v>
      </c>
      <c r="F5" s="14">
        <f t="shared" si="0"/>
        <v>15345428.987732001</v>
      </c>
    </row>
    <row r="6" spans="2:6" outlineLevel="1" x14ac:dyDescent="0.35">
      <c r="B6" s="9" t="s">
        <v>3</v>
      </c>
      <c r="C6" s="14">
        <f t="shared" si="0"/>
        <v>7260350.933855</v>
      </c>
      <c r="D6" s="14">
        <f t="shared" si="0"/>
        <v>8923863.7375614587</v>
      </c>
      <c r="E6" s="14">
        <f t="shared" si="0"/>
        <v>8923863.7375614587</v>
      </c>
      <c r="F6" s="14">
        <f t="shared" si="0"/>
        <v>8923863.7375614587</v>
      </c>
    </row>
    <row r="7" spans="2:6" outlineLevel="1" x14ac:dyDescent="0.35">
      <c r="B7" s="9" t="s">
        <v>4</v>
      </c>
      <c r="C7" s="14">
        <f t="shared" si="0"/>
        <v>0</v>
      </c>
      <c r="D7" s="14">
        <f t="shared" si="0"/>
        <v>0</v>
      </c>
      <c r="E7" s="14">
        <f t="shared" si="0"/>
        <v>0</v>
      </c>
      <c r="F7" s="14">
        <f t="shared" si="0"/>
        <v>0</v>
      </c>
    </row>
    <row r="8" spans="2:6" outlineLevel="1" x14ac:dyDescent="0.35">
      <c r="B8" s="9" t="s">
        <v>5</v>
      </c>
      <c r="C8" s="14">
        <f t="shared" si="0"/>
        <v>1451993.7901979999</v>
      </c>
      <c r="D8" s="14">
        <f t="shared" si="0"/>
        <v>1784678.8467334339</v>
      </c>
      <c r="E8" s="14">
        <f t="shared" si="0"/>
        <v>1784678.8467334339</v>
      </c>
      <c r="F8" s="14">
        <f t="shared" si="0"/>
        <v>1784678.8467334339</v>
      </c>
    </row>
    <row r="9" spans="2:6" outlineLevel="1" x14ac:dyDescent="0.35">
      <c r="B9" s="9" t="s">
        <v>6</v>
      </c>
      <c r="C9" s="14">
        <f t="shared" si="0"/>
        <v>1484837.372161</v>
      </c>
      <c r="D9" s="14">
        <f t="shared" si="0"/>
        <v>1825047.6460878232</v>
      </c>
      <c r="E9" s="14">
        <f t="shared" si="0"/>
        <v>1825047.6460878232</v>
      </c>
      <c r="F9" s="14">
        <f t="shared" si="0"/>
        <v>1825047.6460878232</v>
      </c>
    </row>
    <row r="10" spans="2:6" outlineLevel="1" x14ac:dyDescent="0.35">
      <c r="B10" s="9" t="s">
        <v>7</v>
      </c>
      <c r="C10" s="14">
        <f t="shared" si="0"/>
        <v>54952.650055999999</v>
      </c>
      <c r="D10" s="14">
        <f t="shared" si="0"/>
        <v>67543.56167977443</v>
      </c>
      <c r="E10" s="14">
        <f t="shared" si="0"/>
        <v>67543.56167977443</v>
      </c>
      <c r="F10" s="14">
        <f t="shared" si="0"/>
        <v>67543.56167977443</v>
      </c>
    </row>
    <row r="11" spans="2:6" outlineLevel="1" x14ac:dyDescent="0.35">
      <c r="B11" s="9" t="s">
        <v>8</v>
      </c>
      <c r="C11" s="14">
        <f t="shared" si="0"/>
        <v>0</v>
      </c>
      <c r="D11" s="14">
        <f t="shared" si="0"/>
        <v>0</v>
      </c>
      <c r="E11" s="14">
        <f t="shared" si="0"/>
        <v>0</v>
      </c>
      <c r="F11" s="14">
        <f t="shared" si="0"/>
        <v>0</v>
      </c>
    </row>
    <row r="12" spans="2:6" outlineLevel="1" x14ac:dyDescent="0.35">
      <c r="B12" s="9" t="s">
        <v>9</v>
      </c>
      <c r="C12" s="14">
        <f t="shared" si="0"/>
        <v>0</v>
      </c>
      <c r="D12" s="14">
        <f t="shared" si="0"/>
        <v>0</v>
      </c>
      <c r="E12" s="14">
        <f t="shared" si="0"/>
        <v>0</v>
      </c>
      <c r="F12" s="14">
        <f t="shared" si="0"/>
        <v>0</v>
      </c>
    </row>
    <row r="13" spans="2:6" outlineLevel="1" x14ac:dyDescent="0.35">
      <c r="B13" s="9" t="s">
        <v>10</v>
      </c>
      <c r="C13" s="14">
        <f t="shared" si="0"/>
        <v>3562244.85</v>
      </c>
      <c r="D13" s="14">
        <f t="shared" si="0"/>
        <v>6332657.8053083336</v>
      </c>
      <c r="E13" s="14">
        <f t="shared" si="0"/>
        <v>6332657.8053083336</v>
      </c>
      <c r="F13" s="14">
        <f t="shared" si="0"/>
        <v>6332657.8053083336</v>
      </c>
    </row>
    <row r="14" spans="2:6" s="1" customFormat="1" x14ac:dyDescent="0.35">
      <c r="B14" s="11" t="s">
        <v>11</v>
      </c>
      <c r="C14" s="15">
        <f>SUM(C5:C13)</f>
        <v>26299240.745879002</v>
      </c>
      <c r="D14" s="15">
        <f>SUM(D5:D13)</f>
        <v>34279220.585102819</v>
      </c>
      <c r="E14" s="15">
        <f>E52+E90</f>
        <v>34279220.585102819</v>
      </c>
      <c r="F14" s="15">
        <f>F52+F90</f>
        <v>34279220.585102819</v>
      </c>
    </row>
    <row r="15" spans="2:6" x14ac:dyDescent="0.35">
      <c r="B15" s="9"/>
      <c r="C15" s="16"/>
      <c r="D15" s="16"/>
      <c r="E15" s="16"/>
      <c r="F15" s="16"/>
    </row>
    <row r="16" spans="2:6" outlineLevel="1" x14ac:dyDescent="0.35">
      <c r="B16" s="9" t="s">
        <v>12</v>
      </c>
      <c r="C16" s="14">
        <f t="shared" ref="C16:F36" si="1">C54+C92</f>
        <v>328734.00000300002</v>
      </c>
      <c r="D16" s="14">
        <f t="shared" si="1"/>
        <v>328734.00000300002</v>
      </c>
      <c r="E16" s="14">
        <f t="shared" si="1"/>
        <v>328734.00000300002</v>
      </c>
      <c r="F16" s="14">
        <f t="shared" si="1"/>
        <v>328734.00000300002</v>
      </c>
    </row>
    <row r="17" spans="2:6" outlineLevel="1" x14ac:dyDescent="0.35">
      <c r="B17" s="9" t="s">
        <v>13</v>
      </c>
      <c r="C17" s="14">
        <f t="shared" si="1"/>
        <v>-65529</v>
      </c>
      <c r="D17" s="14">
        <f t="shared" si="1"/>
        <v>-65529</v>
      </c>
      <c r="E17" s="14">
        <f t="shared" si="1"/>
        <v>-65529</v>
      </c>
      <c r="F17" s="14">
        <f t="shared" si="1"/>
        <v>-65529</v>
      </c>
    </row>
    <row r="18" spans="2:6" outlineLevel="1" x14ac:dyDescent="0.35">
      <c r="B18" s="9" t="s">
        <v>14</v>
      </c>
      <c r="C18" s="14">
        <f t="shared" si="1"/>
        <v>-3040.82</v>
      </c>
      <c r="D18" s="14">
        <f t="shared" si="1"/>
        <v>-3040.82</v>
      </c>
      <c r="E18" s="14">
        <f t="shared" si="1"/>
        <v>-3040.82</v>
      </c>
      <c r="F18" s="14">
        <f t="shared" si="1"/>
        <v>-3040.82</v>
      </c>
    </row>
    <row r="19" spans="2:6" outlineLevel="1" x14ac:dyDescent="0.35">
      <c r="B19" s="9" t="s">
        <v>15</v>
      </c>
      <c r="C19" s="14">
        <f t="shared" si="1"/>
        <v>7089.24</v>
      </c>
      <c r="D19" s="14">
        <f t="shared" si="1"/>
        <v>7089.24</v>
      </c>
      <c r="E19" s="14">
        <f t="shared" si="1"/>
        <v>7089.24</v>
      </c>
      <c r="F19" s="14">
        <f t="shared" si="1"/>
        <v>7089.24</v>
      </c>
    </row>
    <row r="20" spans="2:6" outlineLevel="1" x14ac:dyDescent="0.35">
      <c r="B20" s="9" t="s">
        <v>16</v>
      </c>
      <c r="C20" s="14">
        <f t="shared" si="1"/>
        <v>0</v>
      </c>
      <c r="D20" s="14">
        <f t="shared" si="1"/>
        <v>0</v>
      </c>
      <c r="E20" s="14">
        <f t="shared" si="1"/>
        <v>0</v>
      </c>
      <c r="F20" s="14">
        <f t="shared" si="1"/>
        <v>0</v>
      </c>
    </row>
    <row r="21" spans="2:6" outlineLevel="1" x14ac:dyDescent="0.35">
      <c r="B21" s="9" t="s">
        <v>17</v>
      </c>
      <c r="C21" s="14">
        <f t="shared" si="1"/>
        <v>945298.56</v>
      </c>
      <c r="D21" s="14">
        <f t="shared" si="1"/>
        <v>945298.56</v>
      </c>
      <c r="E21" s="14">
        <f t="shared" si="1"/>
        <v>945298.56</v>
      </c>
      <c r="F21" s="14">
        <f t="shared" si="1"/>
        <v>945298.56</v>
      </c>
    </row>
    <row r="22" spans="2:6" outlineLevel="1" x14ac:dyDescent="0.35">
      <c r="B22" s="9" t="s">
        <v>18</v>
      </c>
      <c r="C22" s="14">
        <f t="shared" si="1"/>
        <v>119350.72</v>
      </c>
      <c r="D22" s="14">
        <f t="shared" si="1"/>
        <v>119350.72</v>
      </c>
      <c r="E22" s="14">
        <f t="shared" si="1"/>
        <v>119350.72</v>
      </c>
      <c r="F22" s="14">
        <f t="shared" si="1"/>
        <v>119350.72</v>
      </c>
    </row>
    <row r="23" spans="2:6" outlineLevel="1" x14ac:dyDescent="0.35">
      <c r="B23" s="9" t="s">
        <v>19</v>
      </c>
      <c r="C23" s="14">
        <f t="shared" si="1"/>
        <v>0</v>
      </c>
      <c r="D23" s="14">
        <f t="shared" si="1"/>
        <v>0</v>
      </c>
      <c r="E23" s="14">
        <f t="shared" si="1"/>
        <v>0</v>
      </c>
      <c r="F23" s="14">
        <f t="shared" si="1"/>
        <v>0</v>
      </c>
    </row>
    <row r="24" spans="2:6" outlineLevel="1" x14ac:dyDescent="0.35">
      <c r="B24" s="9" t="s">
        <v>20</v>
      </c>
      <c r="C24" s="14">
        <f t="shared" si="1"/>
        <v>0</v>
      </c>
      <c r="D24" s="14">
        <f t="shared" si="1"/>
        <v>0</v>
      </c>
      <c r="E24" s="14">
        <f t="shared" si="1"/>
        <v>0</v>
      </c>
      <c r="F24" s="14">
        <f t="shared" si="1"/>
        <v>0</v>
      </c>
    </row>
    <row r="25" spans="2:6" outlineLevel="1" x14ac:dyDescent="0.35">
      <c r="B25" s="9" t="s">
        <v>21</v>
      </c>
      <c r="C25" s="14">
        <f t="shared" si="1"/>
        <v>959676.43</v>
      </c>
      <c r="D25" s="14">
        <f t="shared" si="1"/>
        <v>959676.43</v>
      </c>
      <c r="E25" s="14">
        <f t="shared" si="1"/>
        <v>959676.43</v>
      </c>
      <c r="F25" s="14">
        <f t="shared" si="1"/>
        <v>959676.43</v>
      </c>
    </row>
    <row r="26" spans="2:6" s="1" customFormat="1" outlineLevel="1" x14ac:dyDescent="0.35">
      <c r="B26" s="9" t="s">
        <v>22</v>
      </c>
      <c r="C26" s="14">
        <f t="shared" si="1"/>
        <v>36097.760000000002</v>
      </c>
      <c r="D26" s="14">
        <f t="shared" si="1"/>
        <v>36097.760000000002</v>
      </c>
      <c r="E26" s="14">
        <f t="shared" si="1"/>
        <v>36097.760000000002</v>
      </c>
      <c r="F26" s="14">
        <f t="shared" si="1"/>
        <v>36097.760000000002</v>
      </c>
    </row>
    <row r="27" spans="2:6" s="1" customFormat="1" outlineLevel="1" x14ac:dyDescent="0.35">
      <c r="B27" s="9" t="s">
        <v>23</v>
      </c>
      <c r="C27" s="14">
        <f t="shared" si="1"/>
        <v>0</v>
      </c>
      <c r="D27" s="14">
        <f t="shared" si="1"/>
        <v>0</v>
      </c>
      <c r="E27" s="14">
        <f t="shared" si="1"/>
        <v>0</v>
      </c>
      <c r="F27" s="14">
        <f t="shared" si="1"/>
        <v>0</v>
      </c>
    </row>
    <row r="28" spans="2:6" s="1" customFormat="1" outlineLevel="1" x14ac:dyDescent="0.35">
      <c r="B28" s="9" t="s">
        <v>24</v>
      </c>
      <c r="C28" s="14">
        <f t="shared" si="1"/>
        <v>0</v>
      </c>
      <c r="D28" s="14">
        <f t="shared" si="1"/>
        <v>0</v>
      </c>
      <c r="E28" s="14">
        <f t="shared" si="1"/>
        <v>0</v>
      </c>
      <c r="F28" s="14">
        <f t="shared" si="1"/>
        <v>0</v>
      </c>
    </row>
    <row r="29" spans="2:6" s="1" customFormat="1" outlineLevel="1" x14ac:dyDescent="0.35">
      <c r="B29" s="9" t="s">
        <v>25</v>
      </c>
      <c r="C29" s="14">
        <f t="shared" si="1"/>
        <v>321998.17</v>
      </c>
      <c r="D29" s="14">
        <f t="shared" si="1"/>
        <v>321998.17</v>
      </c>
      <c r="E29" s="14">
        <f t="shared" si="1"/>
        <v>321998.17</v>
      </c>
      <c r="F29" s="14">
        <f t="shared" si="1"/>
        <v>321998.17</v>
      </c>
    </row>
    <row r="30" spans="2:6" s="1" customFormat="1" outlineLevel="1" x14ac:dyDescent="0.35">
      <c r="B30" s="9" t="s">
        <v>26</v>
      </c>
      <c r="C30" s="14">
        <f t="shared" si="1"/>
        <v>0</v>
      </c>
      <c r="D30" s="14">
        <f t="shared" si="1"/>
        <v>0</v>
      </c>
      <c r="E30" s="14">
        <f t="shared" si="1"/>
        <v>0</v>
      </c>
      <c r="F30" s="14">
        <f t="shared" si="1"/>
        <v>0</v>
      </c>
    </row>
    <row r="31" spans="2:6" s="1" customFormat="1" outlineLevel="1" x14ac:dyDescent="0.35">
      <c r="B31" s="9" t="s">
        <v>27</v>
      </c>
      <c r="C31" s="14">
        <f t="shared" si="1"/>
        <v>0</v>
      </c>
      <c r="D31" s="14">
        <f t="shared" si="1"/>
        <v>0</v>
      </c>
      <c r="E31" s="14">
        <f t="shared" si="1"/>
        <v>0</v>
      </c>
      <c r="F31" s="14">
        <f t="shared" si="1"/>
        <v>0</v>
      </c>
    </row>
    <row r="32" spans="2:6" s="1" customFormat="1" outlineLevel="1" x14ac:dyDescent="0.35">
      <c r="B32" s="9" t="s">
        <v>28</v>
      </c>
      <c r="C32" s="14">
        <f t="shared" si="1"/>
        <v>0</v>
      </c>
      <c r="D32" s="14">
        <f t="shared" si="1"/>
        <v>0</v>
      </c>
      <c r="E32" s="14">
        <f t="shared" si="1"/>
        <v>0</v>
      </c>
      <c r="F32" s="14">
        <f t="shared" si="1"/>
        <v>0</v>
      </c>
    </row>
    <row r="33" spans="2:6" outlineLevel="1" x14ac:dyDescent="0.35">
      <c r="B33" s="9" t="s">
        <v>8</v>
      </c>
      <c r="C33" s="14">
        <f t="shared" si="1"/>
        <v>-99</v>
      </c>
      <c r="D33" s="14">
        <f t="shared" si="1"/>
        <v>-99</v>
      </c>
      <c r="E33" s="14">
        <f t="shared" si="1"/>
        <v>-99</v>
      </c>
      <c r="F33" s="14">
        <f t="shared" si="1"/>
        <v>-99</v>
      </c>
    </row>
    <row r="34" spans="2:6" outlineLevel="1" x14ac:dyDescent="0.35">
      <c r="B34" s="9" t="s">
        <v>29</v>
      </c>
      <c r="C34" s="14">
        <f t="shared" si="1"/>
        <v>0</v>
      </c>
      <c r="D34" s="14">
        <f t="shared" si="1"/>
        <v>0</v>
      </c>
      <c r="E34" s="14">
        <f t="shared" si="1"/>
        <v>0</v>
      </c>
      <c r="F34" s="14">
        <f t="shared" si="1"/>
        <v>0</v>
      </c>
    </row>
    <row r="35" spans="2:6" outlineLevel="1" x14ac:dyDescent="0.35">
      <c r="B35" s="9" t="s">
        <v>30</v>
      </c>
      <c r="C35" s="14">
        <f t="shared" si="1"/>
        <v>0</v>
      </c>
      <c r="D35" s="14">
        <f t="shared" si="1"/>
        <v>0</v>
      </c>
      <c r="E35" s="14">
        <f t="shared" si="1"/>
        <v>0</v>
      </c>
      <c r="F35" s="14">
        <f t="shared" si="1"/>
        <v>0</v>
      </c>
    </row>
    <row r="36" spans="2:6" outlineLevel="1" x14ac:dyDescent="0.35">
      <c r="B36" s="9" t="s">
        <v>31</v>
      </c>
      <c r="C36" s="14">
        <f t="shared" si="1"/>
        <v>0</v>
      </c>
      <c r="D36" s="14">
        <f t="shared" si="1"/>
        <v>0</v>
      </c>
      <c r="E36" s="14">
        <f t="shared" si="1"/>
        <v>0</v>
      </c>
      <c r="F36" s="14">
        <f t="shared" si="1"/>
        <v>0</v>
      </c>
    </row>
    <row r="37" spans="2:6" x14ac:dyDescent="0.35">
      <c r="B37" s="11" t="s">
        <v>32</v>
      </c>
      <c r="C37" s="15">
        <f>SUM(C16:C36)</f>
        <v>2649576.0600029998</v>
      </c>
      <c r="D37" s="15">
        <f>SUM(D16:D36)</f>
        <v>2649576.0600029998</v>
      </c>
      <c r="E37" s="15">
        <f>E75+E113</f>
        <v>2649576.0600029998</v>
      </c>
      <c r="F37" s="15">
        <f>F75+F113</f>
        <v>2649576.0600029998</v>
      </c>
    </row>
    <row r="38" spans="2:6" x14ac:dyDescent="0.35">
      <c r="B38" s="9"/>
      <c r="C38" s="14"/>
      <c r="D38" s="14"/>
      <c r="E38" s="14"/>
      <c r="F38" s="14"/>
    </row>
    <row r="39" spans="2:6" x14ac:dyDescent="0.35">
      <c r="B39" s="13" t="s">
        <v>1</v>
      </c>
      <c r="C39" s="17">
        <f>C14+C37</f>
        <v>28948816.805882003</v>
      </c>
      <c r="D39" s="17">
        <f>D14+D37</f>
        <v>36928796.645105816</v>
      </c>
      <c r="E39" s="17">
        <f>E77+E115</f>
        <v>36928796.645105816</v>
      </c>
      <c r="F39" s="17">
        <f>F77+F115</f>
        <v>36928796.645105816</v>
      </c>
    </row>
    <row r="40" spans="2:6" x14ac:dyDescent="0.35">
      <c r="B40" s="9"/>
      <c r="C40" s="14"/>
      <c r="D40" s="14"/>
      <c r="E40" s="14"/>
      <c r="F40" s="14"/>
    </row>
    <row r="41" spans="2:6" x14ac:dyDescent="0.35">
      <c r="B41" s="2" t="s">
        <v>33</v>
      </c>
      <c r="C41" s="18"/>
      <c r="D41" s="18"/>
      <c r="E41" s="18"/>
      <c r="F41" s="18"/>
    </row>
    <row r="42" spans="2:6" s="8" customFormat="1" x14ac:dyDescent="0.35">
      <c r="B42" s="10"/>
      <c r="C42" s="10">
        <v>2026</v>
      </c>
      <c r="D42" s="10">
        <v>2027</v>
      </c>
      <c r="E42" s="10">
        <v>2028</v>
      </c>
      <c r="F42" s="10">
        <v>2029</v>
      </c>
    </row>
    <row r="43" spans="2:6" outlineLevel="1" x14ac:dyDescent="0.35">
      <c r="B43" s="9" t="s">
        <v>2</v>
      </c>
      <c r="C43" s="14">
        <f>SUMIFS('Base - Payroll'!$E:$E,'Base - Payroll'!$A:$A,Summary!$B43)</f>
        <v>12484861.149608999</v>
      </c>
      <c r="D43" s="14">
        <f>SUMIFS('Base - Payroll'!$G:$G,'Base - Payroll'!$A:$A,Summary!$B43)</f>
        <v>15345428.987732001</v>
      </c>
      <c r="E43" s="14">
        <f>SUMIFS('Base - Payroll'!$H:$H,'Base - Payroll'!$A:$A,Summary!$B43)</f>
        <v>15345428.987732001</v>
      </c>
      <c r="F43" s="14">
        <f>SUMIFS('Base - Payroll'!$I:$I,'Base - Payroll'!$A:$A,Summary!$B43)</f>
        <v>15345428.987732001</v>
      </c>
    </row>
    <row r="44" spans="2:6" outlineLevel="1" x14ac:dyDescent="0.35">
      <c r="B44" s="9" t="s">
        <v>3</v>
      </c>
      <c r="C44" s="14">
        <f>SUMIFS('Base - Payroll'!$E:$E,'Base - Payroll'!$A:$A,Summary!$B44)</f>
        <v>7260350.933855</v>
      </c>
      <c r="D44" s="14">
        <f>SUMIFS('Base - Payroll'!$G:$G,'Base - Payroll'!$A:$A,Summary!$B44)</f>
        <v>8923863.7375614587</v>
      </c>
      <c r="E44" s="14">
        <f>SUMIFS('Base - Payroll'!$H:$H,'Base - Payroll'!$A:$A,Summary!$B44)</f>
        <v>8923863.7375614587</v>
      </c>
      <c r="F44" s="14">
        <f>SUMIFS('Base - Payroll'!$I:$I,'Base - Payroll'!$A:$A,Summary!$B44)</f>
        <v>8923863.7375614587</v>
      </c>
    </row>
    <row r="45" spans="2:6" outlineLevel="1" x14ac:dyDescent="0.35">
      <c r="B45" s="9" t="s">
        <v>4</v>
      </c>
      <c r="C45" s="14">
        <f>SUMIFS('Base - Non-Payroll'!$E:$E,'Base - Non-Payroll'!$A:$A,Summary!$B45)</f>
        <v>0</v>
      </c>
      <c r="D45" s="14">
        <f>SUMIFS('Base - Non-Payroll'!$H:$H,'Base - Non-Payroll'!$A:$A,Summary!$B45)</f>
        <v>0</v>
      </c>
      <c r="E45" s="14">
        <f>SUMIFS('Base - Non-Payroll'!$J:$J,'Base - Non-Payroll'!$A:$A,Summary!$B45)</f>
        <v>0</v>
      </c>
      <c r="F45" s="14">
        <f>SUMIFS('Base - Non-Payroll'!$L:$L,'Base - Non-Payroll'!$A:$A,Summary!$B45)</f>
        <v>0</v>
      </c>
    </row>
    <row r="46" spans="2:6" outlineLevel="1" x14ac:dyDescent="0.35">
      <c r="B46" s="9" t="s">
        <v>5</v>
      </c>
      <c r="C46" s="14">
        <f>SUMIFS('Base - Payroll'!$E:$E,'Base - Payroll'!$A:$A,Summary!$B46)</f>
        <v>1451993.7901979999</v>
      </c>
      <c r="D46" s="14">
        <f>SUMIFS('Base - Payroll'!$G:$G,'Base - Payroll'!$A:$A,Summary!$B46)</f>
        <v>1784678.8467334339</v>
      </c>
      <c r="E46" s="14">
        <f>SUMIFS('Base - Payroll'!$H:$H,'Base - Payroll'!$A:$A,Summary!$B46)</f>
        <v>1784678.8467334339</v>
      </c>
      <c r="F46" s="14">
        <f>SUMIFS('Base - Payroll'!$I:$I,'Base - Payroll'!$A:$A,Summary!$B46)</f>
        <v>1784678.8467334339</v>
      </c>
    </row>
    <row r="47" spans="2:6" outlineLevel="1" x14ac:dyDescent="0.35">
      <c r="B47" s="9" t="s">
        <v>6</v>
      </c>
      <c r="C47" s="14">
        <f>SUMIFS('Base - Payroll'!$E:$E,'Base - Payroll'!$A:$A,Summary!$B47)</f>
        <v>1484837.372161</v>
      </c>
      <c r="D47" s="14">
        <f>SUMIFS('Base - Payroll'!$G:$G,'Base - Payroll'!$A:$A,Summary!$B47)</f>
        <v>1825047.6460878232</v>
      </c>
      <c r="E47" s="14">
        <f>SUMIFS('Base - Payroll'!$H:$H,'Base - Payroll'!$A:$A,Summary!$B47)</f>
        <v>1825047.6460878232</v>
      </c>
      <c r="F47" s="14">
        <f>SUMIFS('Base - Payroll'!$I:$I,'Base - Payroll'!$A:$A,Summary!$B47)</f>
        <v>1825047.6460878232</v>
      </c>
    </row>
    <row r="48" spans="2:6" s="1" customFormat="1" outlineLevel="1" x14ac:dyDescent="0.35">
      <c r="B48" s="9" t="s">
        <v>7</v>
      </c>
      <c r="C48" s="14">
        <f>SUMIFS('Base - Payroll'!$E:$E,'Base - Payroll'!$A:$A,Summary!$B48)</f>
        <v>54952.650055999999</v>
      </c>
      <c r="D48" s="14">
        <f>SUMIFS('Base - Payroll'!$G:$G,'Base - Payroll'!$A:$A,Summary!$B48)</f>
        <v>67543.56167977443</v>
      </c>
      <c r="E48" s="14">
        <f>SUMIFS('Base - Payroll'!$H:$H,'Base - Payroll'!$A:$A,Summary!$B48)</f>
        <v>67543.56167977443</v>
      </c>
      <c r="F48" s="14">
        <f>SUMIFS('Base - Payroll'!$I:$I,'Base - Payroll'!$A:$A,Summary!$B48)</f>
        <v>67543.56167977443</v>
      </c>
    </row>
    <row r="49" spans="2:14" outlineLevel="1" x14ac:dyDescent="0.35">
      <c r="B49" s="9" t="s">
        <v>8</v>
      </c>
      <c r="C49" s="14">
        <f>SUMIFS('Base - Payroll'!$E:$E,'Base - Payroll'!$A:$A,Summary!$B49)</f>
        <v>0</v>
      </c>
      <c r="D49" s="14">
        <f>SUMIFS('Base - Payroll'!$G:$G,'Base - Payroll'!$A:$A,Summary!$B49)</f>
        <v>0</v>
      </c>
      <c r="E49" s="14">
        <f>SUMIFS('Base - Payroll'!$H:$H,'Base - Payroll'!$A:$A,Summary!$B49)</f>
        <v>0</v>
      </c>
      <c r="F49" s="14">
        <f>SUMIFS('Base - Payroll'!$I:$I,'Base - Payroll'!$A:$A,Summary!$B49)</f>
        <v>0</v>
      </c>
    </row>
    <row r="50" spans="2:14" outlineLevel="1" x14ac:dyDescent="0.35">
      <c r="B50" s="9" t="s">
        <v>9</v>
      </c>
      <c r="C50" s="14">
        <f>SUMIFS('Base - Non-Payroll'!$E:$E,'Base - Non-Payroll'!$A:$A,Summary!$B50)</f>
        <v>0</v>
      </c>
      <c r="D50" s="14">
        <f>SUMIFS('Base - Non-Payroll'!$H:$H,'Base - Non-Payroll'!$A:$A,Summary!$B50)</f>
        <v>0</v>
      </c>
      <c r="E50" s="14">
        <f>SUMIFS('Base - Non-Payroll'!$J:$J,'Base - Non-Payroll'!$A:$A,Summary!$B50)</f>
        <v>0</v>
      </c>
      <c r="F50" s="14">
        <f>SUMIFS('Base - Non-Payroll'!$L:$L,'Base - Non-Payroll'!$A:$A,Summary!$B50)</f>
        <v>0</v>
      </c>
    </row>
    <row r="51" spans="2:14" outlineLevel="1" x14ac:dyDescent="0.35">
      <c r="B51" s="9" t="s">
        <v>10</v>
      </c>
      <c r="C51" s="14">
        <f>SUMIFS('Base - Payroll'!$E:$E,'Base - Payroll'!$A:$A,Summary!$B51)</f>
        <v>3562244.85</v>
      </c>
      <c r="D51" s="14">
        <f>SUMIFS('Base - Payroll'!$G:$G,'Base - Payroll'!$A:$A,Summary!$B51)</f>
        <v>6332657.8053083336</v>
      </c>
      <c r="E51" s="14">
        <f>SUMIFS('Base - Payroll'!$H:$H,'Base - Payroll'!$A:$A,Summary!$B51)</f>
        <v>6332657.8053083336</v>
      </c>
      <c r="F51" s="14">
        <f>SUMIFS('Base - Payroll'!$I:$I,'Base - Payroll'!$A:$A,Summary!$B51)</f>
        <v>6332657.8053083336</v>
      </c>
    </row>
    <row r="52" spans="2:14" x14ac:dyDescent="0.35">
      <c r="B52" s="11" t="s">
        <v>34</v>
      </c>
      <c r="C52" s="15">
        <f>SUM(C43:C51)</f>
        <v>26299240.745879002</v>
      </c>
      <c r="D52" s="15">
        <f>SUM(D43:D51)</f>
        <v>34279220.585102819</v>
      </c>
      <c r="E52" s="15">
        <f>SUM(E43:E51)</f>
        <v>34279220.585102819</v>
      </c>
      <c r="F52" s="15">
        <f>SUM(F43:F51)</f>
        <v>34279220.585102819</v>
      </c>
    </row>
    <row r="53" spans="2:14" x14ac:dyDescent="0.35">
      <c r="B53" s="9"/>
      <c r="C53" s="16"/>
      <c r="D53" s="16"/>
      <c r="E53" s="16"/>
      <c r="F53" s="16"/>
    </row>
    <row r="54" spans="2:14" outlineLevel="1" x14ac:dyDescent="0.35">
      <c r="B54" s="9" t="s">
        <v>12</v>
      </c>
      <c r="C54" s="14">
        <f>SUMIFS('Base - Non-Payroll'!$E:$E,'Base - Non-Payroll'!$A:$A,Summary!$B54)</f>
        <v>328734.00000300002</v>
      </c>
      <c r="D54" s="14">
        <f>SUMIFS('Base - Non-Payroll'!$H:$H,'Base - Non-Payroll'!$A:$A,Summary!$B54)</f>
        <v>328734.00000300002</v>
      </c>
      <c r="E54" s="14">
        <f>SUMIFS('Base - Non-Payroll'!$J:$J,'Base - Non-Payroll'!$A:$A,Summary!$B54)</f>
        <v>328734.00000300002</v>
      </c>
      <c r="F54" s="14">
        <f>SUMIFS('Base - Non-Payroll'!$L:$L,'Base - Non-Payroll'!$A:$A,Summary!$B54)</f>
        <v>328734.00000300002</v>
      </c>
    </row>
    <row r="55" spans="2:14" outlineLevel="1" x14ac:dyDescent="0.35">
      <c r="B55" s="9" t="s">
        <v>13</v>
      </c>
      <c r="C55" s="14">
        <f>SUMIFS('Base - Non-Payroll'!$E:$E,'Base - Non-Payroll'!$A:$A,Summary!$B55)</f>
        <v>-65529</v>
      </c>
      <c r="D55" s="14">
        <f>SUMIFS('Base - Non-Payroll'!$H:$H,'Base - Non-Payroll'!$A:$A,Summary!$B55)</f>
        <v>-65529</v>
      </c>
      <c r="E55" s="14">
        <f>SUMIFS('Base - Non-Payroll'!$J:$J,'Base - Non-Payroll'!$A:$A,Summary!$B55)</f>
        <v>-65529</v>
      </c>
      <c r="F55" s="14">
        <f>SUMIFS('Base - Non-Payroll'!$L:$L,'Base - Non-Payroll'!$A:$A,Summary!$B55)</f>
        <v>-65529</v>
      </c>
    </row>
    <row r="56" spans="2:14" outlineLevel="1" x14ac:dyDescent="0.35">
      <c r="B56" s="9" t="s">
        <v>14</v>
      </c>
      <c r="C56" s="14">
        <f>SUMIFS('Base - Non-Payroll'!$E:$E,'Base - Non-Payroll'!$A:$A,Summary!$B56)</f>
        <v>-3040.82</v>
      </c>
      <c r="D56" s="14">
        <f>SUMIFS('Base - Non-Payroll'!$H:$H,'Base - Non-Payroll'!$A:$A,Summary!$B56)</f>
        <v>-3040.82</v>
      </c>
      <c r="E56" s="14">
        <f>SUMIFS('Base - Non-Payroll'!$J:$J,'Base - Non-Payroll'!$A:$A,Summary!$B56)</f>
        <v>-3040.82</v>
      </c>
      <c r="F56" s="14">
        <f>SUMIFS('Base - Non-Payroll'!$L:$L,'Base - Non-Payroll'!$A:$A,Summary!$B56)</f>
        <v>-3040.82</v>
      </c>
      <c r="J56" s="1"/>
      <c r="K56" s="6"/>
      <c r="L56" s="6"/>
      <c r="M56" s="6"/>
      <c r="N56" s="7"/>
    </row>
    <row r="57" spans="2:14" outlineLevel="1" x14ac:dyDescent="0.35">
      <c r="B57" s="9" t="s">
        <v>15</v>
      </c>
      <c r="C57" s="14">
        <f>SUMIFS('Base - Non-Payroll'!$E:$E,'Base - Non-Payroll'!$A:$A,Summary!$B57)</f>
        <v>7089.24</v>
      </c>
      <c r="D57" s="14">
        <f>SUMIFS('Base - Non-Payroll'!$H:$H,'Base - Non-Payroll'!$A:$A,Summary!$B57)</f>
        <v>7089.24</v>
      </c>
      <c r="E57" s="14">
        <f>SUMIFS('Base - Non-Payroll'!$J:$J,'Base - Non-Payroll'!$A:$A,Summary!$B57)</f>
        <v>7089.24</v>
      </c>
      <c r="F57" s="14">
        <f>SUMIFS('Base - Non-Payroll'!$L:$L,'Base - Non-Payroll'!$A:$A,Summary!$B57)</f>
        <v>7089.24</v>
      </c>
    </row>
    <row r="58" spans="2:14" outlineLevel="1" x14ac:dyDescent="0.35">
      <c r="B58" s="9" t="s">
        <v>16</v>
      </c>
      <c r="C58" s="14">
        <f>SUMIFS('Base - Non-Payroll'!$E:$E,'Base - Non-Payroll'!$A:$A,Summary!$B58)</f>
        <v>0</v>
      </c>
      <c r="D58" s="14">
        <f>SUMIFS('Base - Non-Payroll'!$H:$H,'Base - Non-Payroll'!$A:$A,Summary!$B58)</f>
        <v>0</v>
      </c>
      <c r="E58" s="14">
        <f>SUMIFS('Base - Non-Payroll'!$J:$J,'Base - Non-Payroll'!$A:$A,Summary!$B58)</f>
        <v>0</v>
      </c>
      <c r="F58" s="14">
        <f>SUMIFS('Base - Non-Payroll'!$L:$L,'Base - Non-Payroll'!$A:$A,Summary!$B58)</f>
        <v>0</v>
      </c>
    </row>
    <row r="59" spans="2:14" outlineLevel="1" x14ac:dyDescent="0.35">
      <c r="B59" s="9" t="s">
        <v>17</v>
      </c>
      <c r="C59" s="14">
        <f>SUMIFS('Base - Non-Payroll'!$E:$E,'Base - Non-Payroll'!$A:$A,Summary!$B59)</f>
        <v>945298.56</v>
      </c>
      <c r="D59" s="14">
        <f>SUMIFS('Base - Non-Payroll'!$H:$H,'Base - Non-Payroll'!$A:$A,Summary!$B59)</f>
        <v>945298.56</v>
      </c>
      <c r="E59" s="14">
        <f>SUMIFS('Base - Non-Payroll'!$J:$J,'Base - Non-Payroll'!$A:$A,Summary!$B59)</f>
        <v>945298.56</v>
      </c>
      <c r="F59" s="14">
        <f>SUMIFS('Base - Non-Payroll'!$L:$L,'Base - Non-Payroll'!$A:$A,Summary!$B59)</f>
        <v>945298.56</v>
      </c>
    </row>
    <row r="60" spans="2:14" outlineLevel="1" x14ac:dyDescent="0.35">
      <c r="B60" s="9" t="s">
        <v>18</v>
      </c>
      <c r="C60" s="14">
        <f>SUMIFS('Base - Non-Payroll'!$E:$E,'Base - Non-Payroll'!$A:$A,Summary!$B60)</f>
        <v>119350.72</v>
      </c>
      <c r="D60" s="14">
        <f>SUMIFS('Base - Non-Payroll'!$H:$H,'Base - Non-Payroll'!$A:$A,Summary!$B60)</f>
        <v>119350.72</v>
      </c>
      <c r="E60" s="14">
        <f>SUMIFS('Base - Non-Payroll'!$J:$J,'Base - Non-Payroll'!$A:$A,Summary!$B60)</f>
        <v>119350.72</v>
      </c>
      <c r="F60" s="14">
        <f>SUMIFS('Base - Non-Payroll'!$L:$L,'Base - Non-Payroll'!$A:$A,Summary!$B60)</f>
        <v>119350.72</v>
      </c>
    </row>
    <row r="61" spans="2:14" outlineLevel="1" x14ac:dyDescent="0.35">
      <c r="B61" s="9" t="s">
        <v>19</v>
      </c>
      <c r="C61" s="14">
        <f>SUMIFS('Base - Non-Payroll'!$E:$E,'Base - Non-Payroll'!$A:$A,Summary!$B61)</f>
        <v>0</v>
      </c>
      <c r="D61" s="14">
        <f>SUMIFS('Base - Non-Payroll'!$H:$H,'Base - Non-Payroll'!$A:$A,Summary!$B61)</f>
        <v>0</v>
      </c>
      <c r="E61" s="14">
        <f>SUMIFS('Base - Non-Payroll'!$J:$J,'Base - Non-Payroll'!$A:$A,Summary!$B61)</f>
        <v>0</v>
      </c>
      <c r="F61" s="14">
        <f>SUMIFS('Base - Non-Payroll'!$L:$L,'Base - Non-Payroll'!$A:$A,Summary!$B61)</f>
        <v>0</v>
      </c>
    </row>
    <row r="62" spans="2:14" outlineLevel="1" x14ac:dyDescent="0.35">
      <c r="B62" s="9" t="s">
        <v>20</v>
      </c>
      <c r="C62" s="14">
        <f>SUMIFS('Base - Non-Payroll'!$E:$E,'Base - Non-Payroll'!$A:$A,Summary!$B62)</f>
        <v>0</v>
      </c>
      <c r="D62" s="14">
        <f>SUMIFS('Base - Non-Payroll'!$H:$H,'Base - Non-Payroll'!$A:$A,Summary!$B62)</f>
        <v>0</v>
      </c>
      <c r="E62" s="14">
        <f>SUMIFS('Base - Non-Payroll'!$J:$J,'Base - Non-Payroll'!$A:$A,Summary!$B62)</f>
        <v>0</v>
      </c>
      <c r="F62" s="14">
        <f>SUMIFS('Base - Non-Payroll'!$L:$L,'Base - Non-Payroll'!$A:$A,Summary!$B62)</f>
        <v>0</v>
      </c>
    </row>
    <row r="63" spans="2:14" outlineLevel="1" x14ac:dyDescent="0.35">
      <c r="B63" s="9" t="s">
        <v>21</v>
      </c>
      <c r="C63" s="14">
        <f>SUMIFS('Base - Non-Payroll'!$E:$E,'Base - Non-Payroll'!$A:$A,Summary!$B63)</f>
        <v>959676.43</v>
      </c>
      <c r="D63" s="14">
        <f>SUMIFS('Base - Non-Payroll'!$H:$H,'Base - Non-Payroll'!$A:$A,Summary!$B63)</f>
        <v>959676.43</v>
      </c>
      <c r="E63" s="14">
        <f>SUMIFS('Base - Non-Payroll'!$J:$J,'Base - Non-Payroll'!$A:$A,Summary!$B63)</f>
        <v>959676.43</v>
      </c>
      <c r="F63" s="14">
        <f>SUMIFS('Base - Non-Payroll'!$L:$L,'Base - Non-Payroll'!$A:$A,Summary!$B63)</f>
        <v>959676.43</v>
      </c>
    </row>
    <row r="64" spans="2:14" outlineLevel="1" x14ac:dyDescent="0.35">
      <c r="B64" s="9" t="s">
        <v>22</v>
      </c>
      <c r="C64" s="14">
        <f>SUMIFS('Base - Non-Payroll'!$E:$E,'Base - Non-Payroll'!$A:$A,Summary!$B64)</f>
        <v>36097.760000000002</v>
      </c>
      <c r="D64" s="14">
        <f>SUMIFS('Base - Non-Payroll'!$H:$H,'Base - Non-Payroll'!$A:$A,Summary!$B64)</f>
        <v>36097.760000000002</v>
      </c>
      <c r="E64" s="14">
        <f>SUMIFS('Base - Non-Payroll'!$J:$J,'Base - Non-Payroll'!$A:$A,Summary!$B64)</f>
        <v>36097.760000000002</v>
      </c>
      <c r="F64" s="14">
        <f>SUMIFS('Base - Non-Payroll'!$L:$L,'Base - Non-Payroll'!$A:$A,Summary!$B64)</f>
        <v>36097.760000000002</v>
      </c>
    </row>
    <row r="65" spans="2:6" outlineLevel="1" x14ac:dyDescent="0.35">
      <c r="B65" s="9" t="s">
        <v>23</v>
      </c>
      <c r="C65" s="14">
        <f>SUMIFS('Base - Non-Payroll'!$E:$E,'Base - Non-Payroll'!$A:$A,Summary!$B65)</f>
        <v>0</v>
      </c>
      <c r="D65" s="14">
        <f>SUMIFS('Base - Non-Payroll'!$H:$H,'Base - Non-Payroll'!$A:$A,Summary!$B65)</f>
        <v>0</v>
      </c>
      <c r="E65" s="14">
        <f>SUMIFS('Base - Non-Payroll'!$J:$J,'Base - Non-Payroll'!$A:$A,Summary!$B65)</f>
        <v>0</v>
      </c>
      <c r="F65" s="14">
        <f>SUMIFS('Base - Non-Payroll'!$L:$L,'Base - Non-Payroll'!$A:$A,Summary!$B65)</f>
        <v>0</v>
      </c>
    </row>
    <row r="66" spans="2:6" outlineLevel="1" x14ac:dyDescent="0.35">
      <c r="B66" s="9" t="s">
        <v>24</v>
      </c>
      <c r="C66" s="14">
        <f>SUMIFS('Base - Non-Payroll'!$E:$E,'Base - Non-Payroll'!$A:$A,Summary!$B66)</f>
        <v>0</v>
      </c>
      <c r="D66" s="14">
        <f>SUMIFS('Base - Non-Payroll'!$H:$H,'Base - Non-Payroll'!$A:$A,Summary!$B66)</f>
        <v>0</v>
      </c>
      <c r="E66" s="14">
        <f>SUMIFS('Base - Non-Payroll'!$J:$J,'Base - Non-Payroll'!$A:$A,Summary!$B66)</f>
        <v>0</v>
      </c>
      <c r="F66" s="14">
        <f>SUMIFS('Base - Non-Payroll'!$L:$L,'Base - Non-Payroll'!$A:$A,Summary!$B66)</f>
        <v>0</v>
      </c>
    </row>
    <row r="67" spans="2:6" outlineLevel="1" x14ac:dyDescent="0.35">
      <c r="B67" s="9" t="s">
        <v>25</v>
      </c>
      <c r="C67" s="14">
        <f>SUMIFS('Base - Non-Payroll'!$E:$E,'Base - Non-Payroll'!$A:$A,Summary!$B67)</f>
        <v>321998.17</v>
      </c>
      <c r="D67" s="14">
        <f>SUMIFS('Base - Non-Payroll'!$H:$H,'Base - Non-Payroll'!$A:$A,Summary!$B67)</f>
        <v>321998.17</v>
      </c>
      <c r="E67" s="14">
        <f>SUMIFS('Base - Non-Payroll'!$J:$J,'Base - Non-Payroll'!$A:$A,Summary!$B67)</f>
        <v>321998.17</v>
      </c>
      <c r="F67" s="14">
        <f>SUMIFS('Base - Non-Payroll'!$L:$L,'Base - Non-Payroll'!$A:$A,Summary!$B67)</f>
        <v>321998.17</v>
      </c>
    </row>
    <row r="68" spans="2:6" outlineLevel="1" x14ac:dyDescent="0.35">
      <c r="B68" s="9" t="s">
        <v>26</v>
      </c>
      <c r="C68" s="14">
        <f>SUMIFS('Base - Non-Payroll'!$E:$E,'Base - Non-Payroll'!$A:$A,Summary!$B68)</f>
        <v>0</v>
      </c>
      <c r="D68" s="14">
        <f>SUMIFS('Base - Non-Payroll'!$H:$H,'Base - Non-Payroll'!$A:$A,Summary!$B68)</f>
        <v>0</v>
      </c>
      <c r="E68" s="14">
        <f>SUMIFS('Base - Non-Payroll'!$J:$J,'Base - Non-Payroll'!$A:$A,Summary!$B68)</f>
        <v>0</v>
      </c>
      <c r="F68" s="14">
        <f>SUMIFS('Base - Non-Payroll'!$L:$L,'Base - Non-Payroll'!$A:$A,Summary!$B68)</f>
        <v>0</v>
      </c>
    </row>
    <row r="69" spans="2:6" outlineLevel="1" x14ac:dyDescent="0.35">
      <c r="B69" s="9" t="s">
        <v>27</v>
      </c>
      <c r="C69" s="14">
        <f>SUMIFS('Base - Non-Payroll'!$E:$E,'Base - Non-Payroll'!$A:$A,Summary!$B69)</f>
        <v>0</v>
      </c>
      <c r="D69" s="14">
        <f>SUMIFS('Base - Non-Payroll'!$H:$H,'Base - Non-Payroll'!$A:$A,Summary!$B69)</f>
        <v>0</v>
      </c>
      <c r="E69" s="14">
        <f>SUMIFS('Base - Non-Payroll'!$J:$J,'Base - Non-Payroll'!$A:$A,Summary!$B69)</f>
        <v>0</v>
      </c>
      <c r="F69" s="14">
        <f>SUMIFS('Base - Non-Payroll'!$L:$L,'Base - Non-Payroll'!$A:$A,Summary!$B69)</f>
        <v>0</v>
      </c>
    </row>
    <row r="70" spans="2:6" outlineLevel="1" x14ac:dyDescent="0.35">
      <c r="B70" s="9" t="s">
        <v>28</v>
      </c>
      <c r="C70" s="14">
        <f>SUMIFS('Base - Non-Payroll'!$E:$E,'Base - Non-Payroll'!$A:$A,Summary!$B70)</f>
        <v>0</v>
      </c>
      <c r="D70" s="14">
        <f>SUMIFS('Base - Non-Payroll'!$H:$H,'Base - Non-Payroll'!$A:$A,Summary!$B70)</f>
        <v>0</v>
      </c>
      <c r="E70" s="14">
        <f>SUMIFS('Base - Non-Payroll'!$J:$J,'Base - Non-Payroll'!$A:$A,Summary!$B70)</f>
        <v>0</v>
      </c>
      <c r="F70" s="14">
        <f>SUMIFS('Base - Non-Payroll'!$L:$L,'Base - Non-Payroll'!$A:$A,Summary!$B70)</f>
        <v>0</v>
      </c>
    </row>
    <row r="71" spans="2:6" outlineLevel="1" x14ac:dyDescent="0.35">
      <c r="B71" s="9" t="s">
        <v>8</v>
      </c>
      <c r="C71" s="14">
        <f>SUMIFS('Base - Non-Payroll'!$E:$E,'Base - Non-Payroll'!$A:$A,Summary!$B71)</f>
        <v>-99</v>
      </c>
      <c r="D71" s="14">
        <f>SUMIFS('Base - Non-Payroll'!$H:$H,'Base - Non-Payroll'!$A:$A,Summary!$B71)</f>
        <v>-99</v>
      </c>
      <c r="E71" s="14">
        <f>SUMIFS('Base - Non-Payroll'!$J:$J,'Base - Non-Payroll'!$A:$A,Summary!$B71)</f>
        <v>-99</v>
      </c>
      <c r="F71" s="14">
        <f>SUMIFS('Base - Non-Payroll'!$L:$L,'Base - Non-Payroll'!$A:$A,Summary!$B71)</f>
        <v>-99</v>
      </c>
    </row>
    <row r="72" spans="2:6" outlineLevel="1" x14ac:dyDescent="0.35">
      <c r="B72" s="9" t="s">
        <v>29</v>
      </c>
      <c r="C72" s="14">
        <f>SUMIFS('Base - Non-Payroll'!$E:$E,'Base - Non-Payroll'!$A:$A,Summary!$B72)</f>
        <v>0</v>
      </c>
      <c r="D72" s="14">
        <f>SUMIFS('Base - Non-Payroll'!$H:$H,'Base - Non-Payroll'!$A:$A,Summary!$B72)</f>
        <v>0</v>
      </c>
      <c r="E72" s="14">
        <f>SUMIFS('Base - Non-Payroll'!$J:$J,'Base - Non-Payroll'!$A:$A,Summary!$B72)</f>
        <v>0</v>
      </c>
      <c r="F72" s="14">
        <f>SUMIFS('Base - Non-Payroll'!$L:$L,'Base - Non-Payroll'!$A:$A,Summary!$B72)</f>
        <v>0</v>
      </c>
    </row>
    <row r="73" spans="2:6" outlineLevel="1" x14ac:dyDescent="0.35">
      <c r="B73" s="9" t="s">
        <v>30</v>
      </c>
      <c r="C73" s="14">
        <f>SUMIFS('Base - Non-Payroll'!$E:$E,'Base - Non-Payroll'!$A:$A,Summary!$B73)</f>
        <v>0</v>
      </c>
      <c r="D73" s="14">
        <f>SUMIFS('Base - Non-Payroll'!$H:$H,'Base - Non-Payroll'!$A:$A,Summary!$B73)</f>
        <v>0</v>
      </c>
      <c r="E73" s="14">
        <f>SUMIFS('Base - Non-Payroll'!$J:$J,'Base - Non-Payroll'!$A:$A,Summary!$B73)</f>
        <v>0</v>
      </c>
      <c r="F73" s="14">
        <f>SUMIFS('Base - Non-Payroll'!$L:$L,'Base - Non-Payroll'!$A:$A,Summary!$B73)</f>
        <v>0</v>
      </c>
    </row>
    <row r="74" spans="2:6" outlineLevel="1" x14ac:dyDescent="0.35">
      <c r="B74" s="9" t="s">
        <v>31</v>
      </c>
      <c r="C74" s="14">
        <f>SUMIFS('Base - Non-Payroll'!$E:$E,'Base - Non-Payroll'!$A:$A,Summary!$B74)</f>
        <v>0</v>
      </c>
      <c r="D74" s="14">
        <f>SUMIFS('Base - Non-Payroll'!$H:$H,'Base - Non-Payroll'!$A:$A,Summary!$B74)</f>
        <v>0</v>
      </c>
      <c r="E74" s="14">
        <f>SUMIFS('Base - Non-Payroll'!$J:$J,'Base - Non-Payroll'!$A:$A,Summary!$B74)</f>
        <v>0</v>
      </c>
      <c r="F74" s="14">
        <f>SUMIFS('Base - Non-Payroll'!$L:$L,'Base - Non-Payroll'!$A:$A,Summary!$B74)</f>
        <v>0</v>
      </c>
    </row>
    <row r="75" spans="2:6" x14ac:dyDescent="0.35">
      <c r="B75" s="11" t="s">
        <v>35</v>
      </c>
      <c r="C75" s="15">
        <f>SUM(C54:C74)</f>
        <v>2649576.0600029998</v>
      </c>
      <c r="D75" s="15">
        <f>SUM(D54:D74)</f>
        <v>2649576.0600029998</v>
      </c>
      <c r="E75" s="15">
        <f>SUM(E54:E74)</f>
        <v>2649576.0600029998</v>
      </c>
      <c r="F75" s="15">
        <f>SUM(F54:F74)</f>
        <v>2649576.0600029998</v>
      </c>
    </row>
    <row r="76" spans="2:6" x14ac:dyDescent="0.35">
      <c r="B76" s="9"/>
      <c r="C76" s="14"/>
      <c r="D76" s="14"/>
      <c r="E76" s="14"/>
      <c r="F76" s="14"/>
    </row>
    <row r="77" spans="2:6" x14ac:dyDescent="0.35">
      <c r="B77" s="13" t="s">
        <v>1</v>
      </c>
      <c r="C77" s="17">
        <f>C52+C75</f>
        <v>28948816.805882003</v>
      </c>
      <c r="D77" s="17">
        <f>D52+D75</f>
        <v>36928796.645105816</v>
      </c>
      <c r="E77" s="17">
        <f>E52+E75</f>
        <v>36928796.645105816</v>
      </c>
      <c r="F77" s="17">
        <f>F52+F75</f>
        <v>36928796.645105816</v>
      </c>
    </row>
    <row r="78" spans="2:6" x14ac:dyDescent="0.35">
      <c r="B78" s="9"/>
      <c r="C78" s="16"/>
      <c r="D78" s="16"/>
      <c r="E78" s="16"/>
      <c r="F78" s="16"/>
    </row>
    <row r="79" spans="2:6" x14ac:dyDescent="0.35">
      <c r="B79" s="2" t="s">
        <v>36</v>
      </c>
      <c r="C79" s="18"/>
      <c r="D79" s="18"/>
      <c r="E79" s="18"/>
      <c r="F79" s="18"/>
    </row>
    <row r="80" spans="2:6" s="8" customFormat="1" x14ac:dyDescent="0.35">
      <c r="B80" s="10"/>
      <c r="C80" s="19"/>
      <c r="D80" s="10" t="s">
        <v>37</v>
      </c>
      <c r="E80" s="49" t="s">
        <v>38</v>
      </c>
      <c r="F80" s="49" t="s">
        <v>39</v>
      </c>
    </row>
    <row r="81" spans="2:6" outlineLevel="1" x14ac:dyDescent="0.35">
      <c r="B81" s="9" t="s">
        <v>2</v>
      </c>
      <c r="C81" s="16"/>
      <c r="D81" s="16" cm="1">
        <f t="array" ref="D81">SUMPRODUCT(IFERROR(tblPayrollIncrementalSpend[Base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1" s="16" cm="1">
        <f t="array" ref="E81">SUMPRODUCT(IFERROR(tblPayrollIncrementalSpend[Base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1" s="16" cm="1">
        <f t="array" ref="F81">SUMPRODUCT(IFERROR(tblPayrollIncrementalSpend[Base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2" spans="2:6" outlineLevel="1" x14ac:dyDescent="0.35">
      <c r="B82" s="9" t="s">
        <v>3</v>
      </c>
      <c r="C82" s="16"/>
      <c r="D82" s="16" cm="1">
        <f t="array" ref="D82">SUMPRODUCT(IFERROR(tblPayrollIncrementalSpend[Bonus]*tblPayrollIncrementalSpend[2027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2" s="16" cm="1">
        <f t="array" ref="E82">SUMPRODUCT(IFERROR(tblPayrollIncrementalSpend[Bonus]*tblPayrollIncrementalSpend[2028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2" s="16" cm="1">
        <f t="array" ref="F82">SUMPRODUCT(IFERROR(tblPayrollIncrementalSpend[Bonus]*tblPayrollIncrementalSpend[2029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3" spans="2:6" outlineLevel="1" x14ac:dyDescent="0.35">
      <c r="B83" s="9" t="s">
        <v>4</v>
      </c>
      <c r="C83" s="16"/>
      <c r="D83" s="16">
        <f>SUMIF(tblNonPayrollIncrementalSpend[Type of Expense],$B83,tblNonPayrollIncrementalSpend[2027 Incremental Spend])</f>
        <v>0</v>
      </c>
      <c r="E83" s="16">
        <f>SUMIF(tblNonPayrollIncrementalSpend[Type of Expense],$B83,tblNonPayrollIncrementalSpend[2028 Incremental Spend])</f>
        <v>0</v>
      </c>
      <c r="F83" s="16">
        <f>SUMIF(tblNonPayrollIncrementalSpend[Type of Expense],$B83,tblNonPayrollIncrementalSpend[2029 Incremental Spend])</f>
        <v>0</v>
      </c>
    </row>
    <row r="84" spans="2:6" outlineLevel="1" x14ac:dyDescent="0.35">
      <c r="B84" s="9" t="s">
        <v>5</v>
      </c>
      <c r="C84" s="16"/>
      <c r="D84" s="16" cm="1">
        <f t="array" ref="D84">SUMPRODUCT(IFERROR(tblPayrollIncrementalSpend[Payroll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4" s="16" cm="1">
        <f t="array" ref="E84">SUMPRODUCT(IFERROR(tblPayrollIncrementalSpend[Payroll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4" s="16" cm="1">
        <f t="array" ref="F84">SUMPRODUCT(IFERROR(tblPayrollIncrementalSpend[Payroll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5" spans="2:6" outlineLevel="1" x14ac:dyDescent="0.35">
      <c r="B85" s="9" t="s">
        <v>6</v>
      </c>
      <c r="C85" s="16"/>
      <c r="D85" s="16" cm="1">
        <f t="array" ref="D85">SUMPRODUCT(IFERROR(tblPayrollIncrementalSpend[Benefits]*tblPayrollIncrementalSpend[2027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5" s="16" cm="1">
        <f t="array" ref="E85">SUMPRODUCT(IFERROR(tblPayrollIncrementalSpend[Benefits]*tblPayrollIncrementalSpend[2028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5" s="16" cm="1">
        <f t="array" ref="F85">SUMPRODUCT(IFERROR(tblPayrollIncrementalSpend[Benefits]*tblPayrollIncrementalSpend[2029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6" spans="2:6" outlineLevel="1" x14ac:dyDescent="0.35">
      <c r="B86" s="9" t="s">
        <v>7</v>
      </c>
      <c r="C86" s="16"/>
      <c r="D86" s="16" cm="1">
        <f t="array" ref="D86">SUMPRODUCT(IFERROR(tblPayrollIncrementalSpend[Vacation]*tblPayrollIncrementalSpend[2027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6" s="16" cm="1">
        <f t="array" ref="E86">SUMPRODUCT(IFERROR(tblPayrollIncrementalSpend[Vacation]*tblPayrollIncrementalSpend[2028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6" s="16" cm="1">
        <f t="array" ref="F86">SUMPRODUCT(IFERROR(tblPayrollIncrementalSpend[Vacation]*tblPayrollIncrementalSpend[2029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7" spans="2:6" outlineLevel="1" x14ac:dyDescent="0.35">
      <c r="B87" s="9" t="s">
        <v>8</v>
      </c>
      <c r="C87" s="16"/>
      <c r="D87" s="16" cm="1">
        <f t="array" ref="D87">SUMPRODUCT(IFERROR(tblPayrollIncrementalSpend[Other]*tblPayrollIncrementalSpend[2027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7" s="16" cm="1">
        <f t="array" ref="E87">SUMPRODUCT(IFERROR(tblPayrollIncrementalSpend[Other]*tblPayrollIncrementalSpend[2028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7" s="16" cm="1">
        <f t="array" ref="F87">SUMPRODUCT(IFERROR(tblPayrollIncrementalSpend[Other]*tblPayrollIncrementalSpend[2029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8" spans="2:6" outlineLevel="1" x14ac:dyDescent="0.35">
      <c r="B88" s="9" t="s">
        <v>9</v>
      </c>
      <c r="C88" s="16"/>
      <c r="D88" s="16">
        <f>SUMIF(tblNonPayrollIncrementalSpend[Type of Expense],$B88,tblNonPayrollIncrementalSpend[2027 Incremental Spend])</f>
        <v>0</v>
      </c>
      <c r="E88" s="16">
        <f>SUMIF(tblNonPayrollIncrementalSpend[Type of Expense],$B88,tblNonPayrollIncrementalSpend[2028 Incremental Spend])</f>
        <v>0</v>
      </c>
      <c r="F88" s="16">
        <f>SUMIF(tblNonPayrollIncrementalSpend[Type of Expense],$B88,tblNonPayrollIncrementalSpend[2029 Incremental Spend])</f>
        <v>0</v>
      </c>
    </row>
    <row r="89" spans="2:6" outlineLevel="1" x14ac:dyDescent="0.35">
      <c r="B89" s="9" t="s">
        <v>10</v>
      </c>
      <c r="C89" s="16"/>
      <c r="D89" s="16">
        <f>SUMIF(tblNonPayrollIncrementalSpend[Type of Expense],$B89,tblNonPayrollIncrementalSpend[2027 Incremental Spend])</f>
        <v>0</v>
      </c>
      <c r="E89" s="16">
        <f>SUMIF(tblNonPayrollIncrementalSpend[Type of Expense],$B89,tblNonPayrollIncrementalSpend[2028 Incremental Spend])</f>
        <v>0</v>
      </c>
      <c r="F89" s="16">
        <f>SUMIF(tblNonPayrollIncrementalSpend[Type of Expense],$B89,tblNonPayrollIncrementalSpend[2029 Incremental Spend])</f>
        <v>0</v>
      </c>
    </row>
    <row r="90" spans="2:6" x14ac:dyDescent="0.35">
      <c r="B90" s="11" t="s">
        <v>40</v>
      </c>
      <c r="C90" s="15"/>
      <c r="D90" s="15">
        <f>SUM(D81:D89)</f>
        <v>0</v>
      </c>
      <c r="E90" s="57">
        <f>SUM(E81:E89)</f>
        <v>0</v>
      </c>
      <c r="F90" s="57">
        <f>SUM(F81:F89)</f>
        <v>0</v>
      </c>
    </row>
    <row r="91" spans="2:6" x14ac:dyDescent="0.35">
      <c r="B91" s="9"/>
      <c r="C91" s="16"/>
      <c r="D91" s="16"/>
      <c r="E91" s="16"/>
      <c r="F91" s="16"/>
    </row>
    <row r="92" spans="2:6" outlineLevel="1" x14ac:dyDescent="0.35">
      <c r="B92" s="9" t="s">
        <v>12</v>
      </c>
      <c r="C92" s="14"/>
      <c r="D92" s="14">
        <f>SUMIF('Investment Case Asks - Summary'!$B$28:$B$42,$B92,'Investment Case Asks - Summary'!$D$28:$D$42)</f>
        <v>0</v>
      </c>
      <c r="E92" s="14">
        <f>SUMIF('Investment Case Asks - Summary'!$B$28:$B$42,$B92,'Investment Case Asks - Summary'!$E$28:$E$42)</f>
        <v>0</v>
      </c>
      <c r="F92" s="14">
        <f>SUMIF('Investment Case Asks - Summary'!$B$28:$B$42,$B92,'Investment Case Asks - Summary'!$F$28:$F$42)</f>
        <v>0</v>
      </c>
    </row>
    <row r="93" spans="2:6" outlineLevel="1" x14ac:dyDescent="0.35">
      <c r="B93" s="9" t="s">
        <v>13</v>
      </c>
      <c r="C93" s="14"/>
      <c r="D93" s="14">
        <f>SUMIF('Investment Case Asks - Summary'!$B$28:$B$42,$B93,'Investment Case Asks - Summary'!$D$28:$D$42)</f>
        <v>0</v>
      </c>
      <c r="E93" s="14">
        <f>SUMIF('Investment Case Asks - Summary'!$B$28:$B$42,$B93,'Investment Case Asks - Summary'!$E$28:$E$42)</f>
        <v>0</v>
      </c>
      <c r="F93" s="14">
        <f>SUMIF('Investment Case Asks - Summary'!$B$28:$B$42,$B93,'Investment Case Asks - Summary'!$F$28:$F$42)</f>
        <v>0</v>
      </c>
    </row>
    <row r="94" spans="2:6" outlineLevel="1" x14ac:dyDescent="0.35">
      <c r="B94" s="9" t="s">
        <v>14</v>
      </c>
      <c r="C94" s="14"/>
      <c r="D94" s="14">
        <f>SUMIF('Investment Case Asks - Summary'!$B$28:$B$42,$B94,'Investment Case Asks - Summary'!$D$28:$D$42)</f>
        <v>0</v>
      </c>
      <c r="E94" s="14">
        <f>SUMIF('Investment Case Asks - Summary'!$B$28:$B$42,$B94,'Investment Case Asks - Summary'!$E$28:$E$42)</f>
        <v>0</v>
      </c>
      <c r="F94" s="14">
        <f>SUMIF('Investment Case Asks - Summary'!$B$28:$B$42,$B94,'Investment Case Asks - Summary'!$F$28:$F$42)</f>
        <v>0</v>
      </c>
    </row>
    <row r="95" spans="2:6" outlineLevel="1" x14ac:dyDescent="0.35">
      <c r="B95" s="9" t="s">
        <v>15</v>
      </c>
      <c r="C95" s="14"/>
      <c r="D95" s="14">
        <f>SUMIF('Investment Case Asks - Summary'!$B$28:$B$42,$B95,'Investment Case Asks - Summary'!$D$28:$D$42)</f>
        <v>0</v>
      </c>
      <c r="E95" s="14">
        <f>SUMIF('Investment Case Asks - Summary'!$B$28:$B$42,$B95,'Investment Case Asks - Summary'!$E$28:$E$42)</f>
        <v>0</v>
      </c>
      <c r="F95" s="14">
        <f>SUMIF('Investment Case Asks - Summary'!$B$28:$B$42,$B95,'Investment Case Asks - Summary'!$F$28:$F$42)</f>
        <v>0</v>
      </c>
    </row>
    <row r="96" spans="2:6" outlineLevel="1" x14ac:dyDescent="0.35">
      <c r="B96" s="9" t="s">
        <v>16</v>
      </c>
      <c r="C96" s="14"/>
      <c r="D96" s="14">
        <f>SUMIF('Investment Case Asks - Summary'!$B$28:$B$42,$B96,'Investment Case Asks - Summary'!$D$28:$D$42)</f>
        <v>0</v>
      </c>
      <c r="E96" s="14">
        <f>SUMIF('Investment Case Asks - Summary'!$B$28:$B$42,$B96,'Investment Case Asks - Summary'!$E$28:$E$42)</f>
        <v>0</v>
      </c>
      <c r="F96" s="14">
        <f>SUMIF('Investment Case Asks - Summary'!$B$28:$B$42,$B96,'Investment Case Asks - Summary'!$F$28:$F$42)</f>
        <v>0</v>
      </c>
    </row>
    <row r="97" spans="2:6" outlineLevel="1" x14ac:dyDescent="0.35">
      <c r="B97" s="9" t="s">
        <v>17</v>
      </c>
      <c r="C97" s="14"/>
      <c r="D97" s="14">
        <f>SUMIF('Investment Case Asks - Summary'!$B$28:$B$42,$B97,'Investment Case Asks - Summary'!$D$28:$D$42)</f>
        <v>0</v>
      </c>
      <c r="E97" s="14">
        <f>SUMIF('Investment Case Asks - Summary'!$B$28:$B$42,$B97,'Investment Case Asks - Summary'!$E$28:$E$42)</f>
        <v>0</v>
      </c>
      <c r="F97" s="14">
        <f>SUMIF('Investment Case Asks - Summary'!$B$28:$B$42,$B97,'Investment Case Asks - Summary'!$F$28:$F$42)</f>
        <v>0</v>
      </c>
    </row>
    <row r="98" spans="2:6" outlineLevel="1" x14ac:dyDescent="0.35">
      <c r="B98" s="9" t="s">
        <v>18</v>
      </c>
      <c r="C98" s="14"/>
      <c r="D98" s="14">
        <f>SUMIF('Investment Case Asks - Summary'!$B$28:$B$42,$B98,'Investment Case Asks - Summary'!$D$28:$D$42)</f>
        <v>0</v>
      </c>
      <c r="E98" s="14">
        <f>SUMIF('Investment Case Asks - Summary'!$B$28:$B$42,$B98,'Investment Case Asks - Summary'!$E$28:$E$42)</f>
        <v>0</v>
      </c>
      <c r="F98" s="14">
        <f>SUMIF('Investment Case Asks - Summary'!$B$28:$B$42,$B98,'Investment Case Asks - Summary'!$F$28:$F$42)</f>
        <v>0</v>
      </c>
    </row>
    <row r="99" spans="2:6" outlineLevel="1" x14ac:dyDescent="0.35">
      <c r="B99" s="9" t="s">
        <v>19</v>
      </c>
      <c r="C99" s="14"/>
      <c r="D99" s="14">
        <f>SUMIF('Investment Case Asks - Summary'!$B$28:$B$42,$B99,'Investment Case Asks - Summary'!$D$28:$D$42)</f>
        <v>0</v>
      </c>
      <c r="E99" s="14">
        <f>SUMIF('Investment Case Asks - Summary'!$B$28:$B$42,$B99,'Investment Case Asks - Summary'!$E$28:$E$42)</f>
        <v>0</v>
      </c>
      <c r="F99" s="14">
        <f>SUMIF('Investment Case Asks - Summary'!$B$28:$B$42,$B99,'Investment Case Asks - Summary'!$F$28:$F$42)</f>
        <v>0</v>
      </c>
    </row>
    <row r="100" spans="2:6" outlineLevel="1" x14ac:dyDescent="0.35">
      <c r="B100" s="9" t="s">
        <v>20</v>
      </c>
      <c r="C100" s="14"/>
      <c r="D100" s="14">
        <f>SUMIF('Investment Case Asks - Summary'!$B$28:$B$42,$B100,'Investment Case Asks - Summary'!$D$28:$D$42)</f>
        <v>0</v>
      </c>
      <c r="E100" s="14">
        <f>SUMIF('Investment Case Asks - Summary'!$B$28:$B$42,$B100,'Investment Case Asks - Summary'!$E$28:$E$42)</f>
        <v>0</v>
      </c>
      <c r="F100" s="14">
        <f>SUMIF('Investment Case Asks - Summary'!$B$28:$B$42,$B100,'Investment Case Asks - Summary'!$F$28:$F$42)</f>
        <v>0</v>
      </c>
    </row>
    <row r="101" spans="2:6" outlineLevel="1" x14ac:dyDescent="0.35">
      <c r="B101" s="9" t="s">
        <v>21</v>
      </c>
      <c r="C101" s="14"/>
      <c r="D101" s="14">
        <f>SUMIF('Investment Case Asks - Summary'!$B$28:$B$42,$B101,'Investment Case Asks - Summary'!$D$28:$D$42)</f>
        <v>0</v>
      </c>
      <c r="E101" s="14">
        <f>SUMIF('Investment Case Asks - Summary'!$B$28:$B$42,$B101,'Investment Case Asks - Summary'!$E$28:$E$42)</f>
        <v>0</v>
      </c>
      <c r="F101" s="14">
        <f>SUMIF('Investment Case Asks - Summary'!$B$28:$B$42,$B101,'Investment Case Asks - Summary'!$F$28:$F$42)</f>
        <v>0</v>
      </c>
    </row>
    <row r="102" spans="2:6" outlineLevel="1" x14ac:dyDescent="0.35">
      <c r="B102" s="9" t="s">
        <v>22</v>
      </c>
      <c r="C102" s="14"/>
      <c r="D102" s="14">
        <f>SUMIF('Investment Case Asks - Summary'!$B$28:$B$42,$B102,'Investment Case Asks - Summary'!$D$28:$D$42)</f>
        <v>0</v>
      </c>
      <c r="E102" s="14">
        <f>SUMIF('Investment Case Asks - Summary'!$B$28:$B$42,$B102,'Investment Case Asks - Summary'!$E$28:$E$42)</f>
        <v>0</v>
      </c>
      <c r="F102" s="14">
        <f>SUMIF('Investment Case Asks - Summary'!$B$28:$B$42,$B102,'Investment Case Asks - Summary'!$F$28:$F$42)</f>
        <v>0</v>
      </c>
    </row>
    <row r="103" spans="2:6" outlineLevel="1" x14ac:dyDescent="0.35">
      <c r="B103" s="9" t="s">
        <v>23</v>
      </c>
      <c r="C103" s="14"/>
      <c r="D103" s="14">
        <f>SUMIF('Investment Case Asks - Summary'!$B$28:$B$42,$B103,'Investment Case Asks - Summary'!$D$28:$D$42)</f>
        <v>0</v>
      </c>
      <c r="E103" s="14">
        <f>SUMIF('Investment Case Asks - Summary'!$B$28:$B$42,$B103,'Investment Case Asks - Summary'!$E$28:$E$42)</f>
        <v>0</v>
      </c>
      <c r="F103" s="14">
        <f>SUMIF('Investment Case Asks - Summary'!$B$28:$B$42,$B103,'Investment Case Asks - Summary'!$F$28:$F$42)</f>
        <v>0</v>
      </c>
    </row>
    <row r="104" spans="2:6" outlineLevel="1" x14ac:dyDescent="0.35">
      <c r="B104" s="9" t="s">
        <v>24</v>
      </c>
      <c r="C104" s="14"/>
      <c r="D104" s="14">
        <f>SUMIF('Investment Case Asks - Summary'!$B$28:$B$42,$B104,'Investment Case Asks - Summary'!$D$28:$D$42)</f>
        <v>0</v>
      </c>
      <c r="E104" s="14">
        <f>SUMIF('Investment Case Asks - Summary'!$B$28:$B$42,$B104,'Investment Case Asks - Summary'!$E$28:$E$42)</f>
        <v>0</v>
      </c>
      <c r="F104" s="14">
        <f>SUMIF('Investment Case Asks - Summary'!$B$28:$B$42,$B104,'Investment Case Asks - Summary'!$F$28:$F$42)</f>
        <v>0</v>
      </c>
    </row>
    <row r="105" spans="2:6" outlineLevel="1" x14ac:dyDescent="0.35">
      <c r="B105" s="9" t="s">
        <v>25</v>
      </c>
      <c r="C105" s="14"/>
      <c r="D105" s="14">
        <f>SUMIF('Investment Case Asks - Summary'!$B$28:$B$42,$B105,'Investment Case Asks - Summary'!$D$28:$D$42)</f>
        <v>0</v>
      </c>
      <c r="E105" s="14">
        <f>SUMIF('Investment Case Asks - Summary'!$B$28:$B$42,$B105,'Investment Case Asks - Summary'!$E$28:$E$42)</f>
        <v>0</v>
      </c>
      <c r="F105" s="14">
        <f>SUMIF('Investment Case Asks - Summary'!$B$28:$B$42,$B105,'Investment Case Asks - Summary'!$F$28:$F$42)</f>
        <v>0</v>
      </c>
    </row>
    <row r="106" spans="2:6" outlineLevel="1" x14ac:dyDescent="0.35">
      <c r="B106" s="9" t="s">
        <v>26</v>
      </c>
      <c r="C106" s="14"/>
      <c r="D106" s="14">
        <f>SUMIF('Investment Case Asks - Summary'!$B$28:$B$42,$B106,'Investment Case Asks - Summary'!$D$28:$D$42)</f>
        <v>0</v>
      </c>
      <c r="E106" s="14">
        <f>SUMIF('Investment Case Asks - Summary'!$B$28:$B$42,$B106,'Investment Case Asks - Summary'!$E$28:$E$42)</f>
        <v>0</v>
      </c>
      <c r="F106" s="14">
        <f>SUMIF('Investment Case Asks - Summary'!$B$28:$B$42,$B106,'Investment Case Asks - Summary'!$F$28:$F$42)</f>
        <v>0</v>
      </c>
    </row>
    <row r="107" spans="2:6" outlineLevel="1" x14ac:dyDescent="0.35">
      <c r="B107" s="9" t="s">
        <v>27</v>
      </c>
      <c r="C107" s="14"/>
      <c r="D107" s="14">
        <f>SUMIF('Investment Case Asks - Summary'!$B$28:$B$42,$B107,'Investment Case Asks - Summary'!$D$28:$D$42)</f>
        <v>0</v>
      </c>
      <c r="E107" s="14">
        <f>SUMIF('Investment Case Asks - Summary'!$B$28:$B$42,$B107,'Investment Case Asks - Summary'!$E$28:$E$42)</f>
        <v>0</v>
      </c>
      <c r="F107" s="14">
        <f>SUMIF('Investment Case Asks - Summary'!$B$28:$B$42,$B107,'Investment Case Asks - Summary'!$F$28:$F$42)</f>
        <v>0</v>
      </c>
    </row>
    <row r="108" spans="2:6" outlineLevel="1" x14ac:dyDescent="0.35">
      <c r="B108" s="9" t="s">
        <v>28</v>
      </c>
      <c r="C108" s="14"/>
      <c r="D108" s="14">
        <f>SUMIF('Investment Case Asks - Summary'!$B$28:$B$42,$B108,'Investment Case Asks - Summary'!$D$28:$D$42)</f>
        <v>0</v>
      </c>
      <c r="E108" s="14">
        <f>SUMIF('Investment Case Asks - Summary'!$B$28:$B$42,$B108,'Investment Case Asks - Summary'!$E$28:$E$42)</f>
        <v>0</v>
      </c>
      <c r="F108" s="14">
        <f>SUMIF('Investment Case Asks - Summary'!$B$28:$B$42,$B108,'Investment Case Asks - Summary'!$F$28:$F$42)</f>
        <v>0</v>
      </c>
    </row>
    <row r="109" spans="2:6" outlineLevel="1" x14ac:dyDescent="0.35">
      <c r="B109" s="9" t="s">
        <v>8</v>
      </c>
      <c r="C109" s="14"/>
      <c r="D109" s="14">
        <f>SUMIF('Investment Case Asks - Summary'!$B$28:$B$42,$B109,'Investment Case Asks - Summary'!$D$28:$D$42)</f>
        <v>0</v>
      </c>
      <c r="E109" s="14">
        <f>SUMIF('Investment Case Asks - Summary'!$B$28:$B$42,$B109,'Investment Case Asks - Summary'!$E$28:$E$42)</f>
        <v>0</v>
      </c>
      <c r="F109" s="14">
        <f>SUMIF('Investment Case Asks - Summary'!$B$28:$B$42,$B109,'Investment Case Asks - Summary'!$F$28:$F$42)</f>
        <v>0</v>
      </c>
    </row>
    <row r="110" spans="2:6" outlineLevel="1" x14ac:dyDescent="0.35">
      <c r="B110" s="9" t="s">
        <v>29</v>
      </c>
      <c r="C110" s="14"/>
      <c r="D110" s="14">
        <f>SUMIF('Investment Case Asks - Summary'!$B$28:$B$42,$B110,'Investment Case Asks - Summary'!$D$28:$D$42)</f>
        <v>0</v>
      </c>
      <c r="E110" s="14">
        <f>SUMIF('Investment Case Asks - Summary'!$B$28:$B$42,$B110,'Investment Case Asks - Summary'!$E$28:$E$42)</f>
        <v>0</v>
      </c>
      <c r="F110" s="14">
        <f>SUMIF('Investment Case Asks - Summary'!$B$28:$B$42,$B110,'Investment Case Asks - Summary'!$F$28:$F$42)</f>
        <v>0</v>
      </c>
    </row>
    <row r="111" spans="2:6" outlineLevel="1" x14ac:dyDescent="0.35">
      <c r="B111" s="9" t="s">
        <v>30</v>
      </c>
      <c r="C111" s="14"/>
      <c r="D111" s="14">
        <f>SUMIF('Investment Case Asks - Summary'!$B$28:$B$42,$B111,'Investment Case Asks - Summary'!$D$28:$D$42)</f>
        <v>0</v>
      </c>
      <c r="E111" s="14">
        <f>SUMIF('Investment Case Asks - Summary'!$B$28:$B$42,$B111,'Investment Case Asks - Summary'!$E$28:$E$42)</f>
        <v>0</v>
      </c>
      <c r="F111" s="14">
        <f>SUMIF('Investment Case Asks - Summary'!$B$28:$B$42,$B111,'Investment Case Asks - Summary'!$F$28:$F$42)</f>
        <v>0</v>
      </c>
    </row>
    <row r="112" spans="2:6" outlineLevel="1" x14ac:dyDescent="0.35">
      <c r="B112" s="9" t="s">
        <v>31</v>
      </c>
      <c r="C112" s="14"/>
      <c r="D112" s="14">
        <f>SUMIF('Investment Case Asks - Summary'!$B$28:$B$42,$B112,'Investment Case Asks - Summary'!$D$28:$D$42)</f>
        <v>0</v>
      </c>
      <c r="E112" s="14">
        <f>SUMIF('Investment Case Asks - Summary'!$B$28:$B$42,$B112,'Investment Case Asks - Summary'!$E$28:$E$42)</f>
        <v>0</v>
      </c>
      <c r="F112" s="14">
        <f>SUMIF('Investment Case Asks - Summary'!$B$28:$B$42,$B112,'Investment Case Asks - Summary'!$F$28:$F$42)</f>
        <v>0</v>
      </c>
    </row>
    <row r="113" spans="2:6" x14ac:dyDescent="0.35">
      <c r="B113" s="11" t="s">
        <v>41</v>
      </c>
      <c r="C113" s="15"/>
      <c r="D113" s="15">
        <f>SUM(D92:D112)</f>
        <v>0</v>
      </c>
      <c r="E113" s="57">
        <f>SUM(E92:E112)</f>
        <v>0</v>
      </c>
      <c r="F113" s="57">
        <f>SUM(F92:F112)</f>
        <v>0</v>
      </c>
    </row>
    <row r="114" spans="2:6" x14ac:dyDescent="0.35">
      <c r="B114" s="9"/>
      <c r="C114" s="14"/>
      <c r="D114" s="14"/>
      <c r="E114" s="14"/>
      <c r="F114" s="14"/>
    </row>
    <row r="115" spans="2:6" x14ac:dyDescent="0.35">
      <c r="B115" s="12" t="s">
        <v>1</v>
      </c>
      <c r="C115" s="20"/>
      <c r="D115" s="20">
        <f>D90+D113</f>
        <v>0</v>
      </c>
      <c r="E115" s="57">
        <f>E90+E113</f>
        <v>0</v>
      </c>
      <c r="F115" s="57">
        <f>F90+F113</f>
        <v>0</v>
      </c>
    </row>
  </sheetData>
  <sheetProtection algorithmName="SHA-512" hashValue="Q2YIZRAkJLO9bQE1cgW1bE1cA+OAryyOw9tI7zTVu2Yuv7TFgdcKsV7+YRjaNc7SaDn2/Bgyg37smSWge1KaVw==" saltValue="2JlXglaL5/etKiPJDFN7ng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"/>
  <sheetViews>
    <sheetView zoomScale="60" zoomScaleNormal="60" workbookViewId="0">
      <selection activeCell="D54" sqref="D54"/>
    </sheetView>
  </sheetViews>
  <sheetFormatPr defaultRowHeight="14.5" x14ac:dyDescent="0.35"/>
  <cols>
    <col min="1" max="1" width="31.54296875" style="3" customWidth="1"/>
    <col min="2" max="2" width="28.7265625" style="3" bestFit="1" customWidth="1"/>
    <col min="3" max="3" width="21.90625" style="3" bestFit="1" customWidth="1"/>
    <col min="4" max="4" width="37.6328125" style="3" bestFit="1" customWidth="1"/>
    <col min="5" max="5" width="30.36328125" style="4" bestFit="1" customWidth="1"/>
    <col min="6" max="6" width="29.453125" style="4" bestFit="1" customWidth="1"/>
    <col min="7" max="7" width="23.26953125" style="4" bestFit="1" customWidth="1"/>
    <col min="8" max="8" width="19.453125" style="4" bestFit="1" customWidth="1"/>
    <col min="9" max="9" width="16.90625" style="4" bestFit="1" customWidth="1"/>
    <col min="10" max="10" width="25.36328125" style="4" bestFit="1" customWidth="1"/>
    <col min="11" max="11" width="19.1796875" style="4" bestFit="1" customWidth="1"/>
    <col min="12" max="12" width="19.6328125" style="4" bestFit="1" customWidth="1"/>
    <col min="13" max="13" width="15.81640625" style="3" bestFit="1" customWidth="1"/>
    <col min="14" max="14" width="36.54296875" style="3" bestFit="1" customWidth="1"/>
    <col min="15" max="17" width="37.6328125" style="4" customWidth="1"/>
    <col min="18" max="18" width="30.36328125" style="4" bestFit="1" customWidth="1"/>
    <col min="19" max="19" width="11" style="4" customWidth="1"/>
    <col min="20" max="20" width="29.7265625" style="3" customWidth="1"/>
    <col min="21" max="21" width="15.90625" style="3" customWidth="1"/>
    <col min="22" max="22" width="8.7265625" style="3" customWidth="1"/>
    <col min="23" max="16384" width="8.7265625" style="3"/>
  </cols>
  <sheetData>
    <row r="1" spans="1:23" x14ac:dyDescent="0.35">
      <c r="A1" s="63" t="s">
        <v>163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x14ac:dyDescent="0.35">
      <c r="A2" s="30"/>
      <c r="B2" s="30"/>
      <c r="C2" s="30"/>
      <c r="D2" s="30"/>
      <c r="E2" s="31"/>
      <c r="F2" s="31"/>
      <c r="G2" s="31"/>
      <c r="H2" s="31"/>
      <c r="I2" s="31"/>
      <c r="J2" s="31"/>
      <c r="K2" s="31"/>
      <c r="L2" s="31"/>
      <c r="M2" s="30"/>
      <c r="N2" s="30"/>
      <c r="O2" s="30"/>
      <c r="P2" s="30"/>
      <c r="Q2" s="30"/>
      <c r="R2" s="30"/>
      <c r="S2" s="31"/>
      <c r="T2" s="30"/>
      <c r="U2" s="30"/>
    </row>
    <row r="3" spans="1:23" x14ac:dyDescent="0.35">
      <c r="A3" s="63" t="s">
        <v>42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31"/>
      <c r="T3" s="66" t="s">
        <v>164</v>
      </c>
      <c r="U3" s="64"/>
      <c r="V3" s="64"/>
      <c r="W3" s="64"/>
    </row>
    <row r="4" spans="1:23" s="5" customFormat="1" x14ac:dyDescent="0.35">
      <c r="A4" s="32" t="s">
        <v>43</v>
      </c>
      <c r="B4" s="32" t="s">
        <v>44</v>
      </c>
      <c r="C4" s="32" t="s">
        <v>45</v>
      </c>
      <c r="D4" s="32" t="s">
        <v>46</v>
      </c>
      <c r="E4" s="32" t="s">
        <v>47</v>
      </c>
      <c r="F4" s="32" t="s">
        <v>48</v>
      </c>
      <c r="G4" s="32" t="s">
        <v>49</v>
      </c>
      <c r="H4" s="32" t="s">
        <v>50</v>
      </c>
      <c r="I4" s="48" t="s">
        <v>3</v>
      </c>
      <c r="J4" s="48" t="s">
        <v>5</v>
      </c>
      <c r="K4" s="48" t="s">
        <v>6</v>
      </c>
      <c r="L4" s="48" t="s">
        <v>7</v>
      </c>
      <c r="M4" s="48" t="s">
        <v>8</v>
      </c>
      <c r="N4" s="48" t="s">
        <v>62</v>
      </c>
      <c r="O4" s="49" t="s">
        <v>37</v>
      </c>
      <c r="P4" s="49" t="s">
        <v>38</v>
      </c>
      <c r="Q4" s="49" t="s">
        <v>39</v>
      </c>
      <c r="R4" s="32" t="s">
        <v>51</v>
      </c>
      <c r="S4" s="33"/>
      <c r="T4" s="32" t="s">
        <v>52</v>
      </c>
      <c r="U4" s="32">
        <v>2027</v>
      </c>
      <c r="V4" s="32">
        <v>2028</v>
      </c>
      <c r="W4" s="32">
        <v>2029</v>
      </c>
    </row>
    <row r="5" spans="1:23" x14ac:dyDescent="0.35">
      <c r="A5" s="52" t="str">
        <f>IFERROR(IF('Investment Case Asks - Monthly'!A5="","",'Investment Case Asks - Monthly'!A5),"")</f>
        <v/>
      </c>
      <c r="B5" s="52" t="str">
        <f>IFERROR(IF('Investment Case Asks - Monthly'!B5="","",'Investment Case Asks - Monthly'!B5),"")</f>
        <v/>
      </c>
      <c r="C5" s="52" t="str">
        <f>IFERROR(IF('Investment Case Asks - Monthly'!C5="","",'Investment Case Asks - Monthly'!C5),"")</f>
        <v/>
      </c>
      <c r="D5" s="53" t="str">
        <f>IFERROR(IF('Investment Case Asks - Monthly'!D5="","",'Investment Case Asks - Monthly'!D5),"")</f>
        <v/>
      </c>
      <c r="E5" s="54" t="str">
        <f>IFERROR(IF('Investment Case Asks - Monthly'!E5="","",'Investment Case Asks - Monthly'!E5),"")</f>
        <v/>
      </c>
      <c r="F5" s="53" t="str">
        <f>IFERROR(IF('Investment Case Asks - Monthly'!F5="","",'Investment Case Asks - Monthly'!F5),"")</f>
        <v/>
      </c>
      <c r="G5" s="54" t="str">
        <f>IFERROR(IF('Investment Case Asks - Monthly'!G5="","",'Investment Case Asks - Monthly'!G5),"")</f>
        <v/>
      </c>
      <c r="H5" s="55" t="str">
        <f>IFERROR(IF('Investment Case Asks - Monthly'!H5="","",'Investment Case Asks - Monthly'!H5),"")</f>
        <v/>
      </c>
      <c r="I5" s="56" t="str">
        <f>IFERROR(IF('Investment Case Asks - Monthly'!I5="","",'Investment Case Asks - Monthly'!I5),"")</f>
        <v/>
      </c>
      <c r="J5" s="56" t="str">
        <f>IFERROR(IF('Investment Case Asks - Monthly'!J5="","",'Investment Case Asks - Monthly'!J5),"")</f>
        <v/>
      </c>
      <c r="K5" s="56" t="str">
        <f>IFERROR(IF('Investment Case Asks - Monthly'!K5="","",'Investment Case Asks - Monthly'!K5),"")</f>
        <v/>
      </c>
      <c r="L5" s="56" t="str">
        <f>IFERROR(IF('Investment Case Asks - Monthly'!L5="","",'Investment Case Asks - Monthly'!L5),"")</f>
        <v/>
      </c>
      <c r="M5" s="56" t="str">
        <f>IFERROR(IF('Investment Case Asks - Monthly'!M5="","",'Investment Case Asks - Monthly'!M5),"")</f>
        <v/>
      </c>
      <c r="N5" s="56" t="str">
        <f>IFERROR(IF('Investment Case Asks - Monthly'!N5="","",'Investment Case Asks - Monthly'!N5),"")</f>
        <v/>
      </c>
      <c r="O5" s="50" t="str">
        <f>IFERROR(IF('Investment Case Asks - Monthly'!AA5="","",'Investment Case Asks - Monthly'!AA5),"")</f>
        <v/>
      </c>
      <c r="P5" s="50" t="str">
        <f>IFERROR(IF('Investment Case Asks - Monthly'!AN5="","",'Investment Case Asks - Monthly'!AN5),"")</f>
        <v/>
      </c>
      <c r="Q5" s="50" t="str">
        <f>IFERROR(IF('Investment Case Asks - Monthly'!BA5="","",'Investment Case Asks - Monthly'!BA5),"")</f>
        <v/>
      </c>
      <c r="R5" s="54" t="str">
        <f>IFERROR(IF('Investment Case Asks - Monthly'!BB5="","",'Investment Case Asks - Monthly'!BB5),"")</f>
        <v/>
      </c>
      <c r="S5" s="31"/>
      <c r="T5" s="30" t="s">
        <v>53</v>
      </c>
      <c r="U5" s="54">
        <f>O22</f>
        <v>0</v>
      </c>
      <c r="V5" s="54">
        <f>P22</f>
        <v>0</v>
      </c>
      <c r="W5" s="54">
        <f>Q22</f>
        <v>0</v>
      </c>
    </row>
    <row r="6" spans="1:23" x14ac:dyDescent="0.35">
      <c r="A6" s="52" t="str">
        <f>IFERROR(IF('Investment Case Asks - Monthly'!A6="","",'Investment Case Asks - Monthly'!A6),"")</f>
        <v/>
      </c>
      <c r="B6" s="52" t="str">
        <f>IFERROR(IF('Investment Case Asks - Monthly'!B6="","",'Investment Case Asks - Monthly'!B6),"")</f>
        <v/>
      </c>
      <c r="C6" s="52" t="str">
        <f>IFERROR(IF('Investment Case Asks - Monthly'!C6="","",'Investment Case Asks - Monthly'!C6),"")</f>
        <v/>
      </c>
      <c r="D6" s="53" t="str">
        <f>IFERROR(IF('Investment Case Asks - Monthly'!D6="","",'Investment Case Asks - Monthly'!D6),"")</f>
        <v/>
      </c>
      <c r="E6" s="54" t="str">
        <f>IFERROR(IF('Investment Case Asks - Monthly'!E6="","",'Investment Case Asks - Monthly'!E6),"")</f>
        <v/>
      </c>
      <c r="F6" s="53" t="str">
        <f>IFERROR(IF('Investment Case Asks - Monthly'!F6="","",'Investment Case Asks - Monthly'!F6),"")</f>
        <v/>
      </c>
      <c r="G6" s="54" t="str">
        <f>IFERROR(IF('Investment Case Asks - Monthly'!G6="","",'Investment Case Asks - Monthly'!G6),"")</f>
        <v/>
      </c>
      <c r="H6" s="55" t="str">
        <f>IFERROR(IF('Investment Case Asks - Monthly'!H6="","",'Investment Case Asks - Monthly'!H6),"")</f>
        <v/>
      </c>
      <c r="I6" s="56" t="str">
        <f>IFERROR(IF('Investment Case Asks - Monthly'!I6="","",'Investment Case Asks - Monthly'!I6),"")</f>
        <v/>
      </c>
      <c r="J6" s="56" t="str">
        <f>IFERROR(IF('Investment Case Asks - Monthly'!J6="","",'Investment Case Asks - Monthly'!J6),"")</f>
        <v/>
      </c>
      <c r="K6" s="56" t="str">
        <f>IFERROR(IF('Investment Case Asks - Monthly'!K6="","",'Investment Case Asks - Monthly'!K6),"")</f>
        <v/>
      </c>
      <c r="L6" s="56" t="str">
        <f>IFERROR(IF('Investment Case Asks - Monthly'!L6="","",'Investment Case Asks - Monthly'!L6),"")</f>
        <v/>
      </c>
      <c r="M6" s="56" t="str">
        <f>IFERROR(IF('Investment Case Asks - Monthly'!M6="","",'Investment Case Asks - Monthly'!M6),"")</f>
        <v/>
      </c>
      <c r="N6" s="56" t="str">
        <f>IFERROR(IF('Investment Case Asks - Monthly'!N6="","",'Investment Case Asks - Monthly'!N6),"")</f>
        <v/>
      </c>
      <c r="O6" s="50" t="str">
        <f>IFERROR(IF('Investment Case Asks - Monthly'!AA6="","",'Investment Case Asks - Monthly'!AA6),"")</f>
        <v/>
      </c>
      <c r="P6" s="50" t="str">
        <f>IFERROR(IF('Investment Case Asks - Monthly'!AN6="","",'Investment Case Asks - Monthly'!AN6),"")</f>
        <v/>
      </c>
      <c r="Q6" s="50" t="str">
        <f>IFERROR(IF('Investment Case Asks - Monthly'!BA6="","",'Investment Case Asks - Monthly'!BA6),"")</f>
        <v/>
      </c>
      <c r="R6" s="54" t="str">
        <f>IFERROR(IF('Investment Case Asks - Monthly'!BB6="","",'Investment Case Asks - Monthly'!BB6),"")</f>
        <v/>
      </c>
      <c r="S6" s="31"/>
      <c r="T6" s="30" t="s">
        <v>54</v>
      </c>
      <c r="U6" s="54">
        <f>D44</f>
        <v>0</v>
      </c>
      <c r="V6" s="54">
        <f>E44</f>
        <v>0</v>
      </c>
      <c r="W6" s="54">
        <f>F44</f>
        <v>0</v>
      </c>
    </row>
    <row r="7" spans="1:23" ht="15" customHeight="1" thickBot="1" x14ac:dyDescent="0.4">
      <c r="A7" s="52" t="str">
        <f>IFERROR(IF('Investment Case Asks - Monthly'!A7="","",'Investment Case Asks - Monthly'!A7),"")</f>
        <v/>
      </c>
      <c r="B7" s="52" t="str">
        <f>IFERROR(IF('Investment Case Asks - Monthly'!B7="","",'Investment Case Asks - Monthly'!B7),"")</f>
        <v/>
      </c>
      <c r="C7" s="52" t="str">
        <f>IFERROR(IF('Investment Case Asks - Monthly'!C7="","",'Investment Case Asks - Monthly'!C7),"")</f>
        <v/>
      </c>
      <c r="D7" s="53" t="str">
        <f>IFERROR(IF('Investment Case Asks - Monthly'!D7="","",'Investment Case Asks - Monthly'!D7),"")</f>
        <v/>
      </c>
      <c r="E7" s="54" t="str">
        <f>IFERROR(IF('Investment Case Asks - Monthly'!E7="","",'Investment Case Asks - Monthly'!E7),"")</f>
        <v/>
      </c>
      <c r="F7" s="53" t="str">
        <f>IFERROR(IF('Investment Case Asks - Monthly'!F7="","",'Investment Case Asks - Monthly'!F7),"")</f>
        <v/>
      </c>
      <c r="G7" s="54" t="str">
        <f>IFERROR(IF('Investment Case Asks - Monthly'!G7="","",'Investment Case Asks - Monthly'!G7),"")</f>
        <v/>
      </c>
      <c r="H7" s="55" t="str">
        <f>IFERROR(IF('Investment Case Asks - Monthly'!H7="","",'Investment Case Asks - Monthly'!H7),"")</f>
        <v/>
      </c>
      <c r="I7" s="56" t="str">
        <f>IFERROR(IF('Investment Case Asks - Monthly'!I7="","",'Investment Case Asks - Monthly'!I7),"")</f>
        <v/>
      </c>
      <c r="J7" s="56" t="str">
        <f>IFERROR(IF('Investment Case Asks - Monthly'!J7="","",'Investment Case Asks - Monthly'!J7),"")</f>
        <v/>
      </c>
      <c r="K7" s="56" t="str">
        <f>IFERROR(IF('Investment Case Asks - Monthly'!K7="","",'Investment Case Asks - Monthly'!K7),"")</f>
        <v/>
      </c>
      <c r="L7" s="56" t="str">
        <f>IFERROR(IF('Investment Case Asks - Monthly'!L7="","",'Investment Case Asks - Monthly'!L7),"")</f>
        <v/>
      </c>
      <c r="M7" s="56" t="str">
        <f>IFERROR(IF('Investment Case Asks - Monthly'!M7="","",'Investment Case Asks - Monthly'!M7),"")</f>
        <v/>
      </c>
      <c r="N7" s="56" t="str">
        <f>IFERROR(IF('Investment Case Asks - Monthly'!N7="","",'Investment Case Asks - Monthly'!N7),"")</f>
        <v/>
      </c>
      <c r="O7" s="50" t="str">
        <f>IFERROR(IF('Investment Case Asks - Monthly'!AA7="","",'Investment Case Asks - Monthly'!AA7),"")</f>
        <v/>
      </c>
      <c r="P7" s="50" t="str">
        <f>IFERROR(IF('Investment Case Asks - Monthly'!AN7="","",'Investment Case Asks - Monthly'!AN7),"")</f>
        <v/>
      </c>
      <c r="Q7" s="50" t="str">
        <f>IFERROR(IF('Investment Case Asks - Monthly'!BA7="","",'Investment Case Asks - Monthly'!BA7),"")</f>
        <v/>
      </c>
      <c r="R7" s="54" t="str">
        <f>IFERROR(IF('Investment Case Asks - Monthly'!BB7="","",'Investment Case Asks - Monthly'!BB7),"")</f>
        <v/>
      </c>
      <c r="S7" s="31"/>
      <c r="T7" s="35" t="s">
        <v>55</v>
      </c>
      <c r="U7" s="36">
        <f>SUM(U5:U6)</f>
        <v>0</v>
      </c>
      <c r="V7" s="36">
        <f>SUM(V5:V6)</f>
        <v>0</v>
      </c>
      <c r="W7" s="36">
        <f>SUM(W5:W6)</f>
        <v>0</v>
      </c>
    </row>
    <row r="8" spans="1:23" ht="15" customHeight="1" thickTop="1" x14ac:dyDescent="0.35">
      <c r="A8" s="52" t="str">
        <f>IFERROR(IF('Investment Case Asks - Monthly'!A8="","",'Investment Case Asks - Monthly'!A8),"")</f>
        <v/>
      </c>
      <c r="B8" s="52" t="str">
        <f>IFERROR(IF('Investment Case Asks - Monthly'!B8="","",'Investment Case Asks - Monthly'!B8),"")</f>
        <v/>
      </c>
      <c r="C8" s="52" t="str">
        <f>IFERROR(IF('Investment Case Asks - Monthly'!C8="","",'Investment Case Asks - Monthly'!C8),"")</f>
        <v/>
      </c>
      <c r="D8" s="53" t="str">
        <f>IFERROR(IF('Investment Case Asks - Monthly'!D8="","",'Investment Case Asks - Monthly'!D8),"")</f>
        <v/>
      </c>
      <c r="E8" s="54" t="str">
        <f>IFERROR(IF('Investment Case Asks - Monthly'!E8="","",'Investment Case Asks - Monthly'!E8),"")</f>
        <v/>
      </c>
      <c r="F8" s="53" t="str">
        <f>IFERROR(IF('Investment Case Asks - Monthly'!F8="","",'Investment Case Asks - Monthly'!F8),"")</f>
        <v/>
      </c>
      <c r="G8" s="54" t="str">
        <f>IFERROR(IF('Investment Case Asks - Monthly'!G8="","",'Investment Case Asks - Monthly'!G8),"")</f>
        <v/>
      </c>
      <c r="H8" s="55" t="str">
        <f>IFERROR(IF('Investment Case Asks - Monthly'!H8="","",'Investment Case Asks - Monthly'!H8),"")</f>
        <v/>
      </c>
      <c r="I8" s="56" t="str">
        <f>IFERROR(IF('Investment Case Asks - Monthly'!I8="","",'Investment Case Asks - Monthly'!I8),"")</f>
        <v/>
      </c>
      <c r="J8" s="56" t="str">
        <f>IFERROR(IF('Investment Case Asks - Monthly'!J8="","",'Investment Case Asks - Monthly'!J8),"")</f>
        <v/>
      </c>
      <c r="K8" s="56" t="str">
        <f>IFERROR(IF('Investment Case Asks - Monthly'!K8="","",'Investment Case Asks - Monthly'!K8),"")</f>
        <v/>
      </c>
      <c r="L8" s="56" t="str">
        <f>IFERROR(IF('Investment Case Asks - Monthly'!L8="","",'Investment Case Asks - Monthly'!L8),"")</f>
        <v/>
      </c>
      <c r="M8" s="56" t="str">
        <f>IFERROR(IF('Investment Case Asks - Monthly'!M8="","",'Investment Case Asks - Monthly'!M8),"")</f>
        <v/>
      </c>
      <c r="N8" s="56" t="str">
        <f>IFERROR(IF('Investment Case Asks - Monthly'!N8="","",'Investment Case Asks - Monthly'!N8),"")</f>
        <v/>
      </c>
      <c r="O8" s="50" t="str">
        <f>IFERROR(IF('Investment Case Asks - Monthly'!AA8="","",'Investment Case Asks - Monthly'!AA8),"")</f>
        <v/>
      </c>
      <c r="P8" s="50" t="str">
        <f>IFERROR(IF('Investment Case Asks - Monthly'!AN8="","",'Investment Case Asks - Monthly'!AN8),"")</f>
        <v/>
      </c>
      <c r="Q8" s="50" t="str">
        <f>IFERROR(IF('Investment Case Asks - Monthly'!BA8="","",'Investment Case Asks - Monthly'!BA8),"")</f>
        <v/>
      </c>
      <c r="R8" s="54" t="str">
        <f>IFERROR(IF('Investment Case Asks - Monthly'!BB8="","",'Investment Case Asks - Monthly'!BB8),"")</f>
        <v/>
      </c>
      <c r="S8" s="31"/>
      <c r="T8" s="30"/>
      <c r="U8" s="31"/>
    </row>
    <row r="9" spans="1:23" x14ac:dyDescent="0.35">
      <c r="A9" s="52" t="str">
        <f>IFERROR(IF('Investment Case Asks - Monthly'!A9="","",'Investment Case Asks - Monthly'!A9),"")</f>
        <v/>
      </c>
      <c r="B9" s="52" t="str">
        <f>IFERROR(IF('Investment Case Asks - Monthly'!B9="","",'Investment Case Asks - Monthly'!B9),"")</f>
        <v/>
      </c>
      <c r="C9" s="52" t="str">
        <f>IFERROR(IF('Investment Case Asks - Monthly'!C9="","",'Investment Case Asks - Monthly'!C9),"")</f>
        <v/>
      </c>
      <c r="D9" s="53" t="str">
        <f>IFERROR(IF('Investment Case Asks - Monthly'!D9="","",'Investment Case Asks - Monthly'!D9),"")</f>
        <v/>
      </c>
      <c r="E9" s="54" t="str">
        <f>IFERROR(IF('Investment Case Asks - Monthly'!E9="","",'Investment Case Asks - Monthly'!E9),"")</f>
        <v/>
      </c>
      <c r="F9" s="53" t="str">
        <f>IFERROR(IF('Investment Case Asks - Monthly'!F9="","",'Investment Case Asks - Monthly'!F9),"")</f>
        <v/>
      </c>
      <c r="G9" s="54" t="str">
        <f>IFERROR(IF('Investment Case Asks - Monthly'!G9="","",'Investment Case Asks - Monthly'!G9),"")</f>
        <v/>
      </c>
      <c r="H9" s="55" t="str">
        <f>IFERROR(IF('Investment Case Asks - Monthly'!H9="","",'Investment Case Asks - Monthly'!H9),"")</f>
        <v/>
      </c>
      <c r="I9" s="56" t="str">
        <f>IFERROR(IF('Investment Case Asks - Monthly'!I9="","",'Investment Case Asks - Monthly'!I9),"")</f>
        <v/>
      </c>
      <c r="J9" s="56" t="str">
        <f>IFERROR(IF('Investment Case Asks - Monthly'!J9="","",'Investment Case Asks - Monthly'!J9),"")</f>
        <v/>
      </c>
      <c r="K9" s="56" t="str">
        <f>IFERROR(IF('Investment Case Asks - Monthly'!K9="","",'Investment Case Asks - Monthly'!K9),"")</f>
        <v/>
      </c>
      <c r="L9" s="56" t="str">
        <f>IFERROR(IF('Investment Case Asks - Monthly'!L9="","",'Investment Case Asks - Monthly'!L9),"")</f>
        <v/>
      </c>
      <c r="M9" s="56" t="str">
        <f>IFERROR(IF('Investment Case Asks - Monthly'!M9="","",'Investment Case Asks - Monthly'!M9),"")</f>
        <v/>
      </c>
      <c r="N9" s="56" t="str">
        <f>IFERROR(IF('Investment Case Asks - Monthly'!N9="","",'Investment Case Asks - Monthly'!N9),"")</f>
        <v/>
      </c>
      <c r="O9" s="50" t="str">
        <f>IFERROR(IF('Investment Case Asks - Monthly'!AA9="","",'Investment Case Asks - Monthly'!AA9),"")</f>
        <v/>
      </c>
      <c r="P9" s="50" t="str">
        <f>IFERROR(IF('Investment Case Asks - Monthly'!AN9="","",'Investment Case Asks - Monthly'!AN9),"")</f>
        <v/>
      </c>
      <c r="Q9" s="50" t="str">
        <f>IFERROR(IF('Investment Case Asks - Monthly'!BA9="","",'Investment Case Asks - Monthly'!BA9),"")</f>
        <v/>
      </c>
      <c r="R9" s="54" t="str">
        <f>IFERROR(IF('Investment Case Asks - Monthly'!BB9="","",'Investment Case Asks - Monthly'!BB9),"")</f>
        <v/>
      </c>
      <c r="S9" s="31"/>
      <c r="T9" s="30"/>
      <c r="U9" s="31"/>
    </row>
    <row r="10" spans="1:23" x14ac:dyDescent="0.35">
      <c r="A10" s="52" t="str">
        <f>IFERROR(IF('Investment Case Asks - Monthly'!A10="","",'Investment Case Asks - Monthly'!A10),"")</f>
        <v/>
      </c>
      <c r="B10" s="52" t="str">
        <f>IFERROR(IF('Investment Case Asks - Monthly'!B10="","",'Investment Case Asks - Monthly'!B10),"")</f>
        <v/>
      </c>
      <c r="C10" s="52" t="str">
        <f>IFERROR(IF('Investment Case Asks - Monthly'!C10="","",'Investment Case Asks - Monthly'!C10),"")</f>
        <v/>
      </c>
      <c r="D10" s="53" t="str">
        <f>IFERROR(IF('Investment Case Asks - Monthly'!D10="","",'Investment Case Asks - Monthly'!D10),"")</f>
        <v/>
      </c>
      <c r="E10" s="54" t="str">
        <f>IFERROR(IF('Investment Case Asks - Monthly'!E10="","",'Investment Case Asks - Monthly'!E10),"")</f>
        <v/>
      </c>
      <c r="F10" s="53" t="str">
        <f>IFERROR(IF('Investment Case Asks - Monthly'!F10="","",'Investment Case Asks - Monthly'!F10),"")</f>
        <v/>
      </c>
      <c r="G10" s="54" t="str">
        <f>IFERROR(IF('Investment Case Asks - Monthly'!G10="","",'Investment Case Asks - Monthly'!G10),"")</f>
        <v/>
      </c>
      <c r="H10" s="55" t="str">
        <f>IFERROR(IF('Investment Case Asks - Monthly'!H10="","",'Investment Case Asks - Monthly'!H10),"")</f>
        <v/>
      </c>
      <c r="I10" s="56" t="str">
        <f>IFERROR(IF('Investment Case Asks - Monthly'!I10="","",'Investment Case Asks - Monthly'!I10),"")</f>
        <v/>
      </c>
      <c r="J10" s="56" t="str">
        <f>IFERROR(IF('Investment Case Asks - Monthly'!J10="","",'Investment Case Asks - Monthly'!J10),"")</f>
        <v/>
      </c>
      <c r="K10" s="56" t="str">
        <f>IFERROR(IF('Investment Case Asks - Monthly'!K10="","",'Investment Case Asks - Monthly'!K10),"")</f>
        <v/>
      </c>
      <c r="L10" s="56" t="str">
        <f>IFERROR(IF('Investment Case Asks - Monthly'!L10="","",'Investment Case Asks - Monthly'!L10),"")</f>
        <v/>
      </c>
      <c r="M10" s="56" t="str">
        <f>IFERROR(IF('Investment Case Asks - Monthly'!M10="","",'Investment Case Asks - Monthly'!M10),"")</f>
        <v/>
      </c>
      <c r="N10" s="56" t="str">
        <f>IFERROR(IF('Investment Case Asks - Monthly'!N10="","",'Investment Case Asks - Monthly'!N10),"")</f>
        <v/>
      </c>
      <c r="O10" s="50" t="str">
        <f>IFERROR(IF('Investment Case Asks - Monthly'!AA10="","",'Investment Case Asks - Monthly'!AA10),"")</f>
        <v/>
      </c>
      <c r="P10" s="50" t="str">
        <f>IFERROR(IF('Investment Case Asks - Monthly'!AN10="","",'Investment Case Asks - Monthly'!AN10),"")</f>
        <v/>
      </c>
      <c r="Q10" s="50" t="str">
        <f>IFERROR(IF('Investment Case Asks - Monthly'!BA10="","",'Investment Case Asks - Monthly'!BA10),"")</f>
        <v/>
      </c>
      <c r="R10" s="54" t="str">
        <f>IFERROR(IF('Investment Case Asks - Monthly'!BB10="","",'Investment Case Asks - Monthly'!BB10),"")</f>
        <v/>
      </c>
      <c r="S10" s="31"/>
      <c r="T10" s="30"/>
      <c r="U10" s="31"/>
    </row>
    <row r="11" spans="1:23" x14ac:dyDescent="0.35">
      <c r="A11" s="52" t="str">
        <f>IFERROR(IF('Investment Case Asks - Monthly'!A11="","",'Investment Case Asks - Monthly'!A11),"")</f>
        <v/>
      </c>
      <c r="B11" s="52" t="str">
        <f>IFERROR(IF('Investment Case Asks - Monthly'!B11="","",'Investment Case Asks - Monthly'!B11),"")</f>
        <v/>
      </c>
      <c r="C11" s="52" t="str">
        <f>IFERROR(IF('Investment Case Asks - Monthly'!C11="","",'Investment Case Asks - Monthly'!C11),"")</f>
        <v/>
      </c>
      <c r="D11" s="53" t="str">
        <f>IFERROR(IF('Investment Case Asks - Monthly'!D11="","",'Investment Case Asks - Monthly'!D11),"")</f>
        <v/>
      </c>
      <c r="E11" s="54" t="str">
        <f>IFERROR(IF('Investment Case Asks - Monthly'!E11="","",'Investment Case Asks - Monthly'!E11),"")</f>
        <v/>
      </c>
      <c r="F11" s="53" t="str">
        <f>IFERROR(IF('Investment Case Asks - Monthly'!F11="","",'Investment Case Asks - Monthly'!F11),"")</f>
        <v/>
      </c>
      <c r="G11" s="54" t="str">
        <f>IFERROR(IF('Investment Case Asks - Monthly'!G11="","",'Investment Case Asks - Monthly'!G11),"")</f>
        <v/>
      </c>
      <c r="H11" s="55" t="str">
        <f>IFERROR(IF('Investment Case Asks - Monthly'!H11="","",'Investment Case Asks - Monthly'!H11),"")</f>
        <v/>
      </c>
      <c r="I11" s="56" t="str">
        <f>IFERROR(IF('Investment Case Asks - Monthly'!I11="","",'Investment Case Asks - Monthly'!I11),"")</f>
        <v/>
      </c>
      <c r="J11" s="56" t="str">
        <f>IFERROR(IF('Investment Case Asks - Monthly'!J11="","",'Investment Case Asks - Monthly'!J11),"")</f>
        <v/>
      </c>
      <c r="K11" s="56" t="str">
        <f>IFERROR(IF('Investment Case Asks - Monthly'!K11="","",'Investment Case Asks - Monthly'!K11),"")</f>
        <v/>
      </c>
      <c r="L11" s="56" t="str">
        <f>IFERROR(IF('Investment Case Asks - Monthly'!L11="","",'Investment Case Asks - Monthly'!L11),"")</f>
        <v/>
      </c>
      <c r="M11" s="56" t="str">
        <f>IFERROR(IF('Investment Case Asks - Monthly'!M11="","",'Investment Case Asks - Monthly'!M11),"")</f>
        <v/>
      </c>
      <c r="N11" s="56" t="str">
        <f>IFERROR(IF('Investment Case Asks - Monthly'!N11="","",'Investment Case Asks - Monthly'!N11),"")</f>
        <v/>
      </c>
      <c r="O11" s="50" t="str">
        <f>IFERROR(IF('Investment Case Asks - Monthly'!AA11="","",'Investment Case Asks - Monthly'!AA11),"")</f>
        <v/>
      </c>
      <c r="P11" s="50" t="str">
        <f>IFERROR(IF('Investment Case Asks - Monthly'!AN11="","",'Investment Case Asks - Monthly'!AN11),"")</f>
        <v/>
      </c>
      <c r="Q11" s="50" t="str">
        <f>IFERROR(IF('Investment Case Asks - Monthly'!BA11="","",'Investment Case Asks - Monthly'!BA11),"")</f>
        <v/>
      </c>
      <c r="R11" s="54" t="str">
        <f>IFERROR(IF('Investment Case Asks - Monthly'!BB11="","",'Investment Case Asks - Monthly'!BB11),"")</f>
        <v/>
      </c>
      <c r="S11" s="31"/>
      <c r="T11" s="30"/>
      <c r="U11" s="31"/>
    </row>
    <row r="12" spans="1:23" x14ac:dyDescent="0.35">
      <c r="A12" s="52" t="str">
        <f>IFERROR(IF('Investment Case Asks - Monthly'!A12="","",'Investment Case Asks - Monthly'!A12),"")</f>
        <v/>
      </c>
      <c r="B12" s="52" t="str">
        <f>IFERROR(IF('Investment Case Asks - Monthly'!B12="","",'Investment Case Asks - Monthly'!B12),"")</f>
        <v/>
      </c>
      <c r="C12" s="52" t="str">
        <f>IFERROR(IF('Investment Case Asks - Monthly'!C12="","",'Investment Case Asks - Monthly'!C12),"")</f>
        <v/>
      </c>
      <c r="D12" s="53" t="str">
        <f>IFERROR(IF('Investment Case Asks - Monthly'!D12="","",'Investment Case Asks - Monthly'!D12),"")</f>
        <v/>
      </c>
      <c r="E12" s="54" t="str">
        <f>IFERROR(IF('Investment Case Asks - Monthly'!E12="","",'Investment Case Asks - Monthly'!E12),"")</f>
        <v/>
      </c>
      <c r="F12" s="53" t="str">
        <f>IFERROR(IF('Investment Case Asks - Monthly'!F12="","",'Investment Case Asks - Monthly'!F12),"")</f>
        <v/>
      </c>
      <c r="G12" s="54" t="str">
        <f>IFERROR(IF('Investment Case Asks - Monthly'!G12="","",'Investment Case Asks - Monthly'!G12),"")</f>
        <v/>
      </c>
      <c r="H12" s="55" t="str">
        <f>IFERROR(IF('Investment Case Asks - Monthly'!H12="","",'Investment Case Asks - Monthly'!H12),"")</f>
        <v/>
      </c>
      <c r="I12" s="56" t="str">
        <f>IFERROR(IF('Investment Case Asks - Monthly'!I12="","",'Investment Case Asks - Monthly'!I12),"")</f>
        <v/>
      </c>
      <c r="J12" s="56" t="str">
        <f>IFERROR(IF('Investment Case Asks - Monthly'!J12="","",'Investment Case Asks - Monthly'!J12),"")</f>
        <v/>
      </c>
      <c r="K12" s="56" t="str">
        <f>IFERROR(IF('Investment Case Asks - Monthly'!K12="","",'Investment Case Asks - Monthly'!K12),"")</f>
        <v/>
      </c>
      <c r="L12" s="56" t="str">
        <f>IFERROR(IF('Investment Case Asks - Monthly'!L12="","",'Investment Case Asks - Monthly'!L12),"")</f>
        <v/>
      </c>
      <c r="M12" s="56" t="str">
        <f>IFERROR(IF('Investment Case Asks - Monthly'!M12="","",'Investment Case Asks - Monthly'!M12),"")</f>
        <v/>
      </c>
      <c r="N12" s="56" t="str">
        <f>IFERROR(IF('Investment Case Asks - Monthly'!N12="","",'Investment Case Asks - Monthly'!N12),"")</f>
        <v/>
      </c>
      <c r="O12" s="50" t="str">
        <f>IFERROR(IF('Investment Case Asks - Monthly'!AA12="","",'Investment Case Asks - Monthly'!AA12),"")</f>
        <v/>
      </c>
      <c r="P12" s="50" t="str">
        <f>IFERROR(IF('Investment Case Asks - Monthly'!AN12="","",'Investment Case Asks - Monthly'!AN12),"")</f>
        <v/>
      </c>
      <c r="Q12" s="50" t="str">
        <f>IFERROR(IF('Investment Case Asks - Monthly'!BA12="","",'Investment Case Asks - Monthly'!BA12),"")</f>
        <v/>
      </c>
      <c r="R12" s="54" t="str">
        <f>IFERROR(IF('Investment Case Asks - Monthly'!BB12="","",'Investment Case Asks - Monthly'!BB12),"")</f>
        <v/>
      </c>
      <c r="S12" s="31"/>
      <c r="T12" s="30"/>
      <c r="U12" s="31"/>
    </row>
    <row r="13" spans="1:23" x14ac:dyDescent="0.35">
      <c r="A13" s="52" t="str">
        <f>IFERROR(IF('Investment Case Asks - Monthly'!A13="","",'Investment Case Asks - Monthly'!A13),"")</f>
        <v/>
      </c>
      <c r="B13" s="52" t="str">
        <f>IFERROR(IF('Investment Case Asks - Monthly'!B13="","",'Investment Case Asks - Monthly'!B13),"")</f>
        <v/>
      </c>
      <c r="C13" s="52" t="str">
        <f>IFERROR(IF('Investment Case Asks - Monthly'!C13="","",'Investment Case Asks - Monthly'!C13),"")</f>
        <v/>
      </c>
      <c r="D13" s="53" t="str">
        <f>IFERROR(IF('Investment Case Asks - Monthly'!D13="","",'Investment Case Asks - Monthly'!D13),"")</f>
        <v/>
      </c>
      <c r="E13" s="54" t="str">
        <f>IFERROR(IF('Investment Case Asks - Monthly'!E13="","",'Investment Case Asks - Monthly'!E13),"")</f>
        <v/>
      </c>
      <c r="F13" s="53" t="str">
        <f>IFERROR(IF('Investment Case Asks - Monthly'!F13="","",'Investment Case Asks - Monthly'!F13),"")</f>
        <v/>
      </c>
      <c r="G13" s="54" t="str">
        <f>IFERROR(IF('Investment Case Asks - Monthly'!G13="","",'Investment Case Asks - Monthly'!G13),"")</f>
        <v/>
      </c>
      <c r="H13" s="55" t="str">
        <f>IFERROR(IF('Investment Case Asks - Monthly'!H13="","",'Investment Case Asks - Monthly'!H13),"")</f>
        <v/>
      </c>
      <c r="I13" s="56" t="str">
        <f>IFERROR(IF('Investment Case Asks - Monthly'!I13="","",'Investment Case Asks - Monthly'!I13),"")</f>
        <v/>
      </c>
      <c r="J13" s="56" t="str">
        <f>IFERROR(IF('Investment Case Asks - Monthly'!J13="","",'Investment Case Asks - Monthly'!J13),"")</f>
        <v/>
      </c>
      <c r="K13" s="56" t="str">
        <f>IFERROR(IF('Investment Case Asks - Monthly'!K13="","",'Investment Case Asks - Monthly'!K13),"")</f>
        <v/>
      </c>
      <c r="L13" s="56" t="str">
        <f>IFERROR(IF('Investment Case Asks - Monthly'!L13="","",'Investment Case Asks - Monthly'!L13),"")</f>
        <v/>
      </c>
      <c r="M13" s="56" t="str">
        <f>IFERROR(IF('Investment Case Asks - Monthly'!M13="","",'Investment Case Asks - Monthly'!M13),"")</f>
        <v/>
      </c>
      <c r="N13" s="56" t="str">
        <f>IFERROR(IF('Investment Case Asks - Monthly'!N13="","",'Investment Case Asks - Monthly'!N13),"")</f>
        <v/>
      </c>
      <c r="O13" s="50" t="str">
        <f>IFERROR(IF('Investment Case Asks - Monthly'!AA13="","",'Investment Case Asks - Monthly'!AA13),"")</f>
        <v/>
      </c>
      <c r="P13" s="50" t="str">
        <f>IFERROR(IF('Investment Case Asks - Monthly'!AN13="","",'Investment Case Asks - Monthly'!AN13),"")</f>
        <v/>
      </c>
      <c r="Q13" s="50" t="str">
        <f>IFERROR(IF('Investment Case Asks - Monthly'!BA13="","",'Investment Case Asks - Monthly'!BA13),"")</f>
        <v/>
      </c>
      <c r="R13" s="54" t="str">
        <f>IFERROR(IF('Investment Case Asks - Monthly'!BB13="","",'Investment Case Asks - Monthly'!BB13),"")</f>
        <v/>
      </c>
      <c r="S13" s="31"/>
      <c r="T13" s="30"/>
      <c r="U13" s="31"/>
    </row>
    <row r="14" spans="1:23" x14ac:dyDescent="0.35">
      <c r="A14" s="52" t="str">
        <f>IFERROR(IF('Investment Case Asks - Monthly'!A14="","",'Investment Case Asks - Monthly'!A14),"")</f>
        <v/>
      </c>
      <c r="B14" s="52" t="str">
        <f>IFERROR(IF('Investment Case Asks - Monthly'!B14="","",'Investment Case Asks - Monthly'!B14),"")</f>
        <v/>
      </c>
      <c r="C14" s="52" t="str">
        <f>IFERROR(IF('Investment Case Asks - Monthly'!C14="","",'Investment Case Asks - Monthly'!C14),"")</f>
        <v/>
      </c>
      <c r="D14" s="53" t="str">
        <f>IFERROR(IF('Investment Case Asks - Monthly'!D14="","",'Investment Case Asks - Monthly'!D14),"")</f>
        <v/>
      </c>
      <c r="E14" s="54" t="str">
        <f>IFERROR(IF('Investment Case Asks - Monthly'!E14="","",'Investment Case Asks - Monthly'!E14),"")</f>
        <v/>
      </c>
      <c r="F14" s="53" t="str">
        <f>IFERROR(IF('Investment Case Asks - Monthly'!F14="","",'Investment Case Asks - Monthly'!F14),"")</f>
        <v/>
      </c>
      <c r="G14" s="54" t="str">
        <f>IFERROR(IF('Investment Case Asks - Monthly'!G14="","",'Investment Case Asks - Monthly'!G14),"")</f>
        <v/>
      </c>
      <c r="H14" s="55" t="str">
        <f>IFERROR(IF('Investment Case Asks - Monthly'!H14="","",'Investment Case Asks - Monthly'!H14),"")</f>
        <v/>
      </c>
      <c r="I14" s="56" t="str">
        <f>IFERROR(IF('Investment Case Asks - Monthly'!I14="","",'Investment Case Asks - Monthly'!I14),"")</f>
        <v/>
      </c>
      <c r="J14" s="56" t="str">
        <f>IFERROR(IF('Investment Case Asks - Monthly'!J14="","",'Investment Case Asks - Monthly'!J14),"")</f>
        <v/>
      </c>
      <c r="K14" s="56" t="str">
        <f>IFERROR(IF('Investment Case Asks - Monthly'!K14="","",'Investment Case Asks - Monthly'!K14),"")</f>
        <v/>
      </c>
      <c r="L14" s="56" t="str">
        <f>IFERROR(IF('Investment Case Asks - Monthly'!L14="","",'Investment Case Asks - Monthly'!L14),"")</f>
        <v/>
      </c>
      <c r="M14" s="56" t="str">
        <f>IFERROR(IF('Investment Case Asks - Monthly'!M14="","",'Investment Case Asks - Monthly'!M14),"")</f>
        <v/>
      </c>
      <c r="N14" s="56" t="str">
        <f>IFERROR(IF('Investment Case Asks - Monthly'!N14="","",'Investment Case Asks - Monthly'!N14),"")</f>
        <v/>
      </c>
      <c r="O14" s="50" t="str">
        <f>IFERROR(IF('Investment Case Asks - Monthly'!AA14="","",'Investment Case Asks - Monthly'!AA14),"")</f>
        <v/>
      </c>
      <c r="P14" s="50" t="str">
        <f>IFERROR(IF('Investment Case Asks - Monthly'!AN14="","",'Investment Case Asks - Monthly'!AN14),"")</f>
        <v/>
      </c>
      <c r="Q14" s="50" t="str">
        <f>IFERROR(IF('Investment Case Asks - Monthly'!BA14="","",'Investment Case Asks - Monthly'!BA14),"")</f>
        <v/>
      </c>
      <c r="R14" s="54" t="str">
        <f>IFERROR(IF('Investment Case Asks - Monthly'!BB14="","",'Investment Case Asks - Monthly'!BB14),"")</f>
        <v/>
      </c>
      <c r="S14" s="31"/>
      <c r="T14" s="30"/>
      <c r="U14" s="31"/>
    </row>
    <row r="15" spans="1:23" x14ac:dyDescent="0.35">
      <c r="A15" s="52" t="str">
        <f>IFERROR(IF('Investment Case Asks - Monthly'!A15="","",'Investment Case Asks - Monthly'!A15),"")</f>
        <v/>
      </c>
      <c r="B15" s="52" t="str">
        <f>IFERROR(IF('Investment Case Asks - Monthly'!B15="","",'Investment Case Asks - Monthly'!B15),"")</f>
        <v/>
      </c>
      <c r="C15" s="52" t="str">
        <f>IFERROR(IF('Investment Case Asks - Monthly'!C15="","",'Investment Case Asks - Monthly'!C15),"")</f>
        <v/>
      </c>
      <c r="D15" s="53" t="str">
        <f>IFERROR(IF('Investment Case Asks - Monthly'!D15="","",'Investment Case Asks - Monthly'!D15),"")</f>
        <v/>
      </c>
      <c r="E15" s="54" t="str">
        <f>IFERROR(IF('Investment Case Asks - Monthly'!E15="","",'Investment Case Asks - Monthly'!E15),"")</f>
        <v/>
      </c>
      <c r="F15" s="53" t="str">
        <f>IFERROR(IF('Investment Case Asks - Monthly'!F15="","",'Investment Case Asks - Monthly'!F15),"")</f>
        <v/>
      </c>
      <c r="G15" s="54" t="str">
        <f>IFERROR(IF('Investment Case Asks - Monthly'!G15="","",'Investment Case Asks - Monthly'!G15),"")</f>
        <v/>
      </c>
      <c r="H15" s="55" t="str">
        <f>IFERROR(IF('Investment Case Asks - Monthly'!H15="","",'Investment Case Asks - Monthly'!H15),"")</f>
        <v/>
      </c>
      <c r="I15" s="56" t="str">
        <f>IFERROR(IF('Investment Case Asks - Monthly'!I15="","",'Investment Case Asks - Monthly'!I15),"")</f>
        <v/>
      </c>
      <c r="J15" s="56" t="str">
        <f>IFERROR(IF('Investment Case Asks - Monthly'!J15="","",'Investment Case Asks - Monthly'!J15),"")</f>
        <v/>
      </c>
      <c r="K15" s="56" t="str">
        <f>IFERROR(IF('Investment Case Asks - Monthly'!K15="","",'Investment Case Asks - Monthly'!K15),"")</f>
        <v/>
      </c>
      <c r="L15" s="56" t="str">
        <f>IFERROR(IF('Investment Case Asks - Monthly'!L15="","",'Investment Case Asks - Monthly'!L15),"")</f>
        <v/>
      </c>
      <c r="M15" s="56" t="str">
        <f>IFERROR(IF('Investment Case Asks - Monthly'!M15="","",'Investment Case Asks - Monthly'!M15),"")</f>
        <v/>
      </c>
      <c r="N15" s="56" t="str">
        <f>IFERROR(IF('Investment Case Asks - Monthly'!N15="","",'Investment Case Asks - Monthly'!N15),"")</f>
        <v/>
      </c>
      <c r="O15" s="50" t="str">
        <f>IFERROR(IF('Investment Case Asks - Monthly'!AA15="","",'Investment Case Asks - Monthly'!AA15),"")</f>
        <v/>
      </c>
      <c r="P15" s="50" t="str">
        <f>IFERROR(IF('Investment Case Asks - Monthly'!AN15="","",'Investment Case Asks - Monthly'!AN15),"")</f>
        <v/>
      </c>
      <c r="Q15" s="50" t="str">
        <f>IFERROR(IF('Investment Case Asks - Monthly'!BA15="","",'Investment Case Asks - Monthly'!BA15),"")</f>
        <v/>
      </c>
      <c r="R15" s="54" t="str">
        <f>IFERROR(IF('Investment Case Asks - Monthly'!BB15="","",'Investment Case Asks - Monthly'!BB15),"")</f>
        <v/>
      </c>
      <c r="S15" s="31"/>
      <c r="T15" s="30"/>
      <c r="U15" s="31"/>
    </row>
    <row r="16" spans="1:23" x14ac:dyDescent="0.35">
      <c r="A16" s="52" t="str">
        <f>IFERROR(IF('Investment Case Asks - Monthly'!A16="","",'Investment Case Asks - Monthly'!A16),"")</f>
        <v/>
      </c>
      <c r="B16" s="52" t="str">
        <f>IFERROR(IF('Investment Case Asks - Monthly'!B16="","",'Investment Case Asks - Monthly'!B16),"")</f>
        <v/>
      </c>
      <c r="C16" s="52" t="str">
        <f>IFERROR(IF('Investment Case Asks - Monthly'!C16="","",'Investment Case Asks - Monthly'!C16),"")</f>
        <v/>
      </c>
      <c r="D16" s="53" t="str">
        <f>IFERROR(IF('Investment Case Asks - Monthly'!D16="","",'Investment Case Asks - Monthly'!D16),"")</f>
        <v/>
      </c>
      <c r="E16" s="54" t="str">
        <f>IFERROR(IF('Investment Case Asks - Monthly'!E16="","",'Investment Case Asks - Monthly'!E16),"")</f>
        <v/>
      </c>
      <c r="F16" s="53" t="str">
        <f>IFERROR(IF('Investment Case Asks - Monthly'!F16="","",'Investment Case Asks - Monthly'!F16),"")</f>
        <v/>
      </c>
      <c r="G16" s="54" t="str">
        <f>IFERROR(IF('Investment Case Asks - Monthly'!G16="","",'Investment Case Asks - Monthly'!G16),"")</f>
        <v/>
      </c>
      <c r="H16" s="55" t="str">
        <f>IFERROR(IF('Investment Case Asks - Monthly'!H16="","",'Investment Case Asks - Monthly'!H16),"")</f>
        <v/>
      </c>
      <c r="I16" s="56" t="str">
        <f>IFERROR(IF('Investment Case Asks - Monthly'!I16="","",'Investment Case Asks - Monthly'!I16),"")</f>
        <v/>
      </c>
      <c r="J16" s="56" t="str">
        <f>IFERROR(IF('Investment Case Asks - Monthly'!J16="","",'Investment Case Asks - Monthly'!J16),"")</f>
        <v/>
      </c>
      <c r="K16" s="56" t="str">
        <f>IFERROR(IF('Investment Case Asks - Monthly'!K16="","",'Investment Case Asks - Monthly'!K16),"")</f>
        <v/>
      </c>
      <c r="L16" s="56" t="str">
        <f>IFERROR(IF('Investment Case Asks - Monthly'!L16="","",'Investment Case Asks - Monthly'!L16),"")</f>
        <v/>
      </c>
      <c r="M16" s="56" t="str">
        <f>IFERROR(IF('Investment Case Asks - Monthly'!M16="","",'Investment Case Asks - Monthly'!M16),"")</f>
        <v/>
      </c>
      <c r="N16" s="56" t="str">
        <f>IFERROR(IF('Investment Case Asks - Monthly'!N16="","",'Investment Case Asks - Monthly'!N16),"")</f>
        <v/>
      </c>
      <c r="O16" s="50" t="str">
        <f>IFERROR(IF('Investment Case Asks - Monthly'!AA16="","",'Investment Case Asks - Monthly'!AA16),"")</f>
        <v/>
      </c>
      <c r="P16" s="50" t="str">
        <f>IFERROR(IF('Investment Case Asks - Monthly'!AN16="","",'Investment Case Asks - Monthly'!AN16),"")</f>
        <v/>
      </c>
      <c r="Q16" s="50" t="str">
        <f>IFERROR(IF('Investment Case Asks - Monthly'!BA16="","",'Investment Case Asks - Monthly'!BA16),"")</f>
        <v/>
      </c>
      <c r="R16" s="54" t="str">
        <f>IFERROR(IF('Investment Case Asks - Monthly'!BB16="","",'Investment Case Asks - Monthly'!BB16),"")</f>
        <v/>
      </c>
      <c r="S16" s="31"/>
      <c r="T16" s="30"/>
      <c r="U16" s="31"/>
    </row>
    <row r="17" spans="1:21" x14ac:dyDescent="0.35">
      <c r="A17" s="52" t="str">
        <f>IFERROR(IF('Investment Case Asks - Monthly'!A17="","",'Investment Case Asks - Monthly'!A17),"")</f>
        <v/>
      </c>
      <c r="B17" s="52" t="str">
        <f>IFERROR(IF('Investment Case Asks - Monthly'!B17="","",'Investment Case Asks - Monthly'!B17),"")</f>
        <v/>
      </c>
      <c r="C17" s="52" t="str">
        <f>IFERROR(IF('Investment Case Asks - Monthly'!C17="","",'Investment Case Asks - Monthly'!C17),"")</f>
        <v/>
      </c>
      <c r="D17" s="53" t="str">
        <f>IFERROR(IF('Investment Case Asks - Monthly'!D17="","",'Investment Case Asks - Monthly'!D17),"")</f>
        <v/>
      </c>
      <c r="E17" s="54" t="str">
        <f>IFERROR(IF('Investment Case Asks - Monthly'!E17="","",'Investment Case Asks - Monthly'!E17),"")</f>
        <v/>
      </c>
      <c r="F17" s="53" t="str">
        <f>IFERROR(IF('Investment Case Asks - Monthly'!F17="","",'Investment Case Asks - Monthly'!F17),"")</f>
        <v/>
      </c>
      <c r="G17" s="54" t="str">
        <f>IFERROR(IF('Investment Case Asks - Monthly'!G17="","",'Investment Case Asks - Monthly'!G17),"")</f>
        <v/>
      </c>
      <c r="H17" s="55" t="str">
        <f>IFERROR(IF('Investment Case Asks - Monthly'!H17="","",'Investment Case Asks - Monthly'!H17),"")</f>
        <v/>
      </c>
      <c r="I17" s="56" t="str">
        <f>IFERROR(IF('Investment Case Asks - Monthly'!I17="","",'Investment Case Asks - Monthly'!I17),"")</f>
        <v/>
      </c>
      <c r="J17" s="56" t="str">
        <f>IFERROR(IF('Investment Case Asks - Monthly'!J17="","",'Investment Case Asks - Monthly'!J17),"")</f>
        <v/>
      </c>
      <c r="K17" s="56" t="str">
        <f>IFERROR(IF('Investment Case Asks - Monthly'!K17="","",'Investment Case Asks - Monthly'!K17),"")</f>
        <v/>
      </c>
      <c r="L17" s="56" t="str">
        <f>IFERROR(IF('Investment Case Asks - Monthly'!L17="","",'Investment Case Asks - Monthly'!L17),"")</f>
        <v/>
      </c>
      <c r="M17" s="56" t="str">
        <f>IFERROR(IF('Investment Case Asks - Monthly'!M17="","",'Investment Case Asks - Monthly'!M17),"")</f>
        <v/>
      </c>
      <c r="N17" s="56" t="str">
        <f>IFERROR(IF('Investment Case Asks - Monthly'!N17="","",'Investment Case Asks - Monthly'!N17),"")</f>
        <v/>
      </c>
      <c r="O17" s="50" t="str">
        <f>IFERROR(IF('Investment Case Asks - Monthly'!AA17="","",'Investment Case Asks - Monthly'!AA17),"")</f>
        <v/>
      </c>
      <c r="P17" s="50" t="str">
        <f>IFERROR(IF('Investment Case Asks - Monthly'!AN17="","",'Investment Case Asks - Monthly'!AN17),"")</f>
        <v/>
      </c>
      <c r="Q17" s="50" t="str">
        <f>IFERROR(IF('Investment Case Asks - Monthly'!BA17="","",'Investment Case Asks - Monthly'!BA17),"")</f>
        <v/>
      </c>
      <c r="R17" s="54" t="str">
        <f>IFERROR(IF('Investment Case Asks - Monthly'!BB17="","",'Investment Case Asks - Monthly'!BB17),"")</f>
        <v/>
      </c>
      <c r="S17" s="31"/>
      <c r="T17" s="30"/>
      <c r="U17" s="31"/>
    </row>
    <row r="18" spans="1:21" x14ac:dyDescent="0.35">
      <c r="A18" s="52" t="str">
        <f>IFERROR(IF('Investment Case Asks - Monthly'!A18="","",'Investment Case Asks - Monthly'!A18),"")</f>
        <v/>
      </c>
      <c r="B18" s="52" t="str">
        <f>IFERROR(IF('Investment Case Asks - Monthly'!B18="","",'Investment Case Asks - Monthly'!B18),"")</f>
        <v/>
      </c>
      <c r="C18" s="52" t="str">
        <f>IFERROR(IF('Investment Case Asks - Monthly'!C18="","",'Investment Case Asks - Monthly'!C18),"")</f>
        <v/>
      </c>
      <c r="D18" s="53" t="str">
        <f>IFERROR(IF('Investment Case Asks - Monthly'!D18="","",'Investment Case Asks - Monthly'!D18),"")</f>
        <v/>
      </c>
      <c r="E18" s="54" t="str">
        <f>IFERROR(IF('Investment Case Asks - Monthly'!E18="","",'Investment Case Asks - Monthly'!E18),"")</f>
        <v/>
      </c>
      <c r="F18" s="53" t="str">
        <f>IFERROR(IF('Investment Case Asks - Monthly'!F18="","",'Investment Case Asks - Monthly'!F18),"")</f>
        <v/>
      </c>
      <c r="G18" s="54" t="str">
        <f>IFERROR(IF('Investment Case Asks - Monthly'!G18="","",'Investment Case Asks - Monthly'!G18),"")</f>
        <v/>
      </c>
      <c r="H18" s="55" t="str">
        <f>IFERROR(IF('Investment Case Asks - Monthly'!H18="","",'Investment Case Asks - Monthly'!H18),"")</f>
        <v/>
      </c>
      <c r="I18" s="56" t="str">
        <f>IFERROR(IF('Investment Case Asks - Monthly'!I18="","",'Investment Case Asks - Monthly'!I18),"")</f>
        <v/>
      </c>
      <c r="J18" s="56" t="str">
        <f>IFERROR(IF('Investment Case Asks - Monthly'!J18="","",'Investment Case Asks - Monthly'!J18),"")</f>
        <v/>
      </c>
      <c r="K18" s="56" t="str">
        <f>IFERROR(IF('Investment Case Asks - Monthly'!K18="","",'Investment Case Asks - Monthly'!K18),"")</f>
        <v/>
      </c>
      <c r="L18" s="56" t="str">
        <f>IFERROR(IF('Investment Case Asks - Monthly'!L18="","",'Investment Case Asks - Monthly'!L18),"")</f>
        <v/>
      </c>
      <c r="M18" s="56" t="str">
        <f>IFERROR(IF('Investment Case Asks - Monthly'!M18="","",'Investment Case Asks - Monthly'!M18),"")</f>
        <v/>
      </c>
      <c r="N18" s="56" t="str">
        <f>IFERROR(IF('Investment Case Asks - Monthly'!N18="","",'Investment Case Asks - Monthly'!N18),"")</f>
        <v/>
      </c>
      <c r="O18" s="50" t="str">
        <f>IFERROR(IF('Investment Case Asks - Monthly'!AA18="","",'Investment Case Asks - Monthly'!AA18),"")</f>
        <v/>
      </c>
      <c r="P18" s="50" t="str">
        <f>IFERROR(IF('Investment Case Asks - Monthly'!AN18="","",'Investment Case Asks - Monthly'!AN18),"")</f>
        <v/>
      </c>
      <c r="Q18" s="50" t="str">
        <f>IFERROR(IF('Investment Case Asks - Monthly'!BA18="","",'Investment Case Asks - Monthly'!BA18),"")</f>
        <v/>
      </c>
      <c r="R18" s="54" t="str">
        <f>IFERROR(IF('Investment Case Asks - Monthly'!BB18="","",'Investment Case Asks - Monthly'!BB18),"")</f>
        <v/>
      </c>
      <c r="S18" s="31"/>
      <c r="T18" s="30"/>
      <c r="U18" s="31"/>
    </row>
    <row r="19" spans="1:21" x14ac:dyDescent="0.35">
      <c r="A19" s="52" t="str">
        <f>IFERROR(IF('Investment Case Asks - Monthly'!A19="","",'Investment Case Asks - Monthly'!A19),"")</f>
        <v/>
      </c>
      <c r="B19" s="52" t="str">
        <f>IFERROR(IF('Investment Case Asks - Monthly'!B19="","",'Investment Case Asks - Monthly'!B19),"")</f>
        <v/>
      </c>
      <c r="C19" s="52" t="str">
        <f>IFERROR(IF('Investment Case Asks - Monthly'!C19="","",'Investment Case Asks - Monthly'!C19),"")</f>
        <v/>
      </c>
      <c r="D19" s="53" t="str">
        <f>IFERROR(IF('Investment Case Asks - Monthly'!D19="","",'Investment Case Asks - Monthly'!D19),"")</f>
        <v/>
      </c>
      <c r="E19" s="54" t="str">
        <f>IFERROR(IF('Investment Case Asks - Monthly'!E19="","",'Investment Case Asks - Monthly'!E19),"")</f>
        <v/>
      </c>
      <c r="F19" s="53" t="str">
        <f>IFERROR(IF('Investment Case Asks - Monthly'!F19="","",'Investment Case Asks - Monthly'!F19),"")</f>
        <v/>
      </c>
      <c r="G19" s="54" t="str">
        <f>IFERROR(IF('Investment Case Asks - Monthly'!G19="","",'Investment Case Asks - Monthly'!G19),"")</f>
        <v/>
      </c>
      <c r="H19" s="55" t="str">
        <f>IFERROR(IF('Investment Case Asks - Monthly'!H19="","",'Investment Case Asks - Monthly'!H19),"")</f>
        <v/>
      </c>
      <c r="I19" s="56" t="str">
        <f>IFERROR(IF('Investment Case Asks - Monthly'!I19="","",'Investment Case Asks - Monthly'!I19),"")</f>
        <v/>
      </c>
      <c r="J19" s="56" t="str">
        <f>IFERROR(IF('Investment Case Asks - Monthly'!J19="","",'Investment Case Asks - Monthly'!J19),"")</f>
        <v/>
      </c>
      <c r="K19" s="56" t="str">
        <f>IFERROR(IF('Investment Case Asks - Monthly'!K19="","",'Investment Case Asks - Monthly'!K19),"")</f>
        <v/>
      </c>
      <c r="L19" s="56" t="str">
        <f>IFERROR(IF('Investment Case Asks - Monthly'!L19="","",'Investment Case Asks - Monthly'!L19),"")</f>
        <v/>
      </c>
      <c r="M19" s="56" t="str">
        <f>IFERROR(IF('Investment Case Asks - Monthly'!M19="","",'Investment Case Asks - Monthly'!M19),"")</f>
        <v/>
      </c>
      <c r="N19" s="56" t="str">
        <f>IFERROR(IF('Investment Case Asks - Monthly'!N19="","",'Investment Case Asks - Monthly'!N19),"")</f>
        <v/>
      </c>
      <c r="O19" s="50" t="str">
        <f>IFERROR(IF('Investment Case Asks - Monthly'!AA19="","",'Investment Case Asks - Monthly'!AA19),"")</f>
        <v/>
      </c>
      <c r="P19" s="50" t="str">
        <f>IFERROR(IF('Investment Case Asks - Monthly'!AN19="","",'Investment Case Asks - Monthly'!AN19),"")</f>
        <v/>
      </c>
      <c r="Q19" s="50" t="str">
        <f>IFERROR(IF('Investment Case Asks - Monthly'!BA19="","",'Investment Case Asks - Monthly'!BA19),"")</f>
        <v/>
      </c>
      <c r="R19" s="54" t="str">
        <f>IFERROR(IF('Investment Case Asks - Monthly'!BB19="","",'Investment Case Asks - Monthly'!BB19),"")</f>
        <v/>
      </c>
      <c r="S19" s="31"/>
      <c r="T19" s="30"/>
      <c r="U19" s="31"/>
    </row>
    <row r="20" spans="1:21" x14ac:dyDescent="0.35">
      <c r="A20" s="52" t="str">
        <f>IFERROR(IF('Investment Case Asks - Monthly'!A20="","",'Investment Case Asks - Monthly'!A20),"")</f>
        <v/>
      </c>
      <c r="B20" s="52" t="str">
        <f>IFERROR(IF('Investment Case Asks - Monthly'!B20="","",'Investment Case Asks - Monthly'!B20),"")</f>
        <v/>
      </c>
      <c r="C20" s="52" t="str">
        <f>IFERROR(IF('Investment Case Asks - Monthly'!C20="","",'Investment Case Asks - Monthly'!C20),"")</f>
        <v/>
      </c>
      <c r="D20" s="53" t="str">
        <f>IFERROR(IF('Investment Case Asks - Monthly'!D20="","",'Investment Case Asks - Monthly'!D20),"")</f>
        <v/>
      </c>
      <c r="E20" s="54" t="str">
        <f>IFERROR(IF('Investment Case Asks - Monthly'!E20="","",'Investment Case Asks - Monthly'!E20),"")</f>
        <v/>
      </c>
      <c r="F20" s="53" t="str">
        <f>IFERROR(IF('Investment Case Asks - Monthly'!F20="","",'Investment Case Asks - Monthly'!F20),"")</f>
        <v/>
      </c>
      <c r="G20" s="54" t="str">
        <f>IFERROR(IF('Investment Case Asks - Monthly'!G20="","",'Investment Case Asks - Monthly'!G20),"")</f>
        <v/>
      </c>
      <c r="H20" s="55" t="str">
        <f>IFERROR(IF('Investment Case Asks - Monthly'!H20="","",'Investment Case Asks - Monthly'!H20),"")</f>
        <v/>
      </c>
      <c r="I20" s="56" t="str">
        <f>IFERROR(IF('Investment Case Asks - Monthly'!I20="","",'Investment Case Asks - Monthly'!I20),"")</f>
        <v/>
      </c>
      <c r="J20" s="56" t="str">
        <f>IFERROR(IF('Investment Case Asks - Monthly'!J20="","",'Investment Case Asks - Monthly'!J20),"")</f>
        <v/>
      </c>
      <c r="K20" s="56" t="str">
        <f>IFERROR(IF('Investment Case Asks - Monthly'!K20="","",'Investment Case Asks - Monthly'!K20),"")</f>
        <v/>
      </c>
      <c r="L20" s="56" t="str">
        <f>IFERROR(IF('Investment Case Asks - Monthly'!L20="","",'Investment Case Asks - Monthly'!L20),"")</f>
        <v/>
      </c>
      <c r="M20" s="56" t="str">
        <f>IFERROR(IF('Investment Case Asks - Monthly'!M20="","",'Investment Case Asks - Monthly'!M20),"")</f>
        <v/>
      </c>
      <c r="N20" s="56" t="str">
        <f>IFERROR(IF('Investment Case Asks - Monthly'!N20="","",'Investment Case Asks - Monthly'!N20),"")</f>
        <v/>
      </c>
      <c r="O20" s="50" t="str">
        <f>IFERROR(IF('Investment Case Asks - Monthly'!AA20="","",'Investment Case Asks - Monthly'!AA20),"")</f>
        <v/>
      </c>
      <c r="P20" s="50" t="str">
        <f>IFERROR(IF('Investment Case Asks - Monthly'!AN20="","",'Investment Case Asks - Monthly'!AN20),"")</f>
        <v/>
      </c>
      <c r="Q20" s="50" t="str">
        <f>IFERROR(IF('Investment Case Asks - Monthly'!BA20="","",'Investment Case Asks - Monthly'!BA20),"")</f>
        <v/>
      </c>
      <c r="R20" s="54" t="str">
        <f>IFERROR(IF('Investment Case Asks - Monthly'!BB20="","",'Investment Case Asks - Monthly'!BB20),"")</f>
        <v/>
      </c>
      <c r="S20" s="31"/>
      <c r="T20" s="30"/>
      <c r="U20" s="31"/>
    </row>
    <row r="21" spans="1:21" x14ac:dyDescent="0.35">
      <c r="A21" s="30"/>
      <c r="B21" s="30"/>
      <c r="C21" s="30"/>
      <c r="D21" s="30"/>
      <c r="E21" s="31"/>
      <c r="F21" s="31"/>
      <c r="G21" s="31"/>
      <c r="H21" s="31"/>
      <c r="I21" s="31"/>
      <c r="J21" s="31"/>
      <c r="K21" s="31"/>
      <c r="L21" s="31"/>
      <c r="M21" s="30"/>
      <c r="N21" s="30"/>
      <c r="O21" s="30"/>
      <c r="P21" s="30"/>
      <c r="Q21" s="30"/>
      <c r="R21" s="31"/>
      <c r="S21" s="31"/>
      <c r="T21" s="30"/>
      <c r="U21" s="31"/>
    </row>
    <row r="22" spans="1:21" ht="15" customHeight="1" thickBot="1" x14ac:dyDescent="0.4">
      <c r="A22" s="35" t="s">
        <v>56</v>
      </c>
      <c r="B22" s="35"/>
      <c r="C22" s="35"/>
      <c r="D22" s="35"/>
      <c r="E22" s="36"/>
      <c r="F22" s="37"/>
      <c r="G22" s="36">
        <f>SUM(G5:G20)</f>
        <v>0</v>
      </c>
      <c r="H22" s="36"/>
      <c r="I22" s="36">
        <f t="shared" ref="I22:Q22" si="0">SUM(I5:I20)</f>
        <v>0</v>
      </c>
      <c r="J22" s="36">
        <f t="shared" si="0"/>
        <v>0</v>
      </c>
      <c r="K22" s="36">
        <f t="shared" si="0"/>
        <v>0</v>
      </c>
      <c r="L22" s="36">
        <f t="shared" si="0"/>
        <v>0</v>
      </c>
      <c r="M22" s="36">
        <f t="shared" si="0"/>
        <v>0</v>
      </c>
      <c r="N22" s="36">
        <f t="shared" si="0"/>
        <v>0</v>
      </c>
      <c r="O22" s="36">
        <f t="shared" si="0"/>
        <v>0</v>
      </c>
      <c r="P22" s="36">
        <f t="shared" si="0"/>
        <v>0</v>
      </c>
      <c r="Q22" s="36">
        <f t="shared" si="0"/>
        <v>0</v>
      </c>
      <c r="R22" s="36"/>
      <c r="S22" s="31"/>
      <c r="T22" s="30"/>
      <c r="U22" s="30"/>
    </row>
    <row r="23" spans="1:21" ht="15" customHeight="1" thickTop="1" x14ac:dyDescent="0.35">
      <c r="A23" s="30"/>
      <c r="B23" s="30"/>
      <c r="C23" s="30"/>
      <c r="D23" s="30"/>
      <c r="E23" s="31"/>
      <c r="F23" s="31"/>
      <c r="G23" s="31"/>
      <c r="H23" s="31"/>
      <c r="I23" s="31"/>
      <c r="J23" s="31"/>
      <c r="K23" s="31"/>
      <c r="L23" s="31"/>
      <c r="M23" s="30"/>
      <c r="N23" s="30"/>
      <c r="O23" s="30"/>
      <c r="P23" s="30"/>
      <c r="Q23" s="30"/>
      <c r="R23" s="30"/>
      <c r="S23" s="31"/>
      <c r="T23" s="30"/>
      <c r="U23" s="30"/>
    </row>
    <row r="24" spans="1:21" x14ac:dyDescent="0.35">
      <c r="A24" s="30"/>
      <c r="B24" s="30"/>
      <c r="C24" s="30"/>
      <c r="D24" s="30"/>
      <c r="E24" s="31"/>
      <c r="F24" s="31"/>
      <c r="G24" s="31"/>
      <c r="H24" s="31"/>
      <c r="I24" s="31"/>
      <c r="J24" s="31"/>
      <c r="K24" s="31"/>
      <c r="L24" s="31"/>
      <c r="M24" s="30"/>
      <c r="N24" s="30"/>
      <c r="O24" s="30"/>
      <c r="P24" s="30"/>
      <c r="Q24" s="30"/>
      <c r="R24" s="30"/>
      <c r="S24" s="31"/>
      <c r="T24" s="30"/>
      <c r="U24" s="30"/>
    </row>
    <row r="25" spans="1:21" x14ac:dyDescent="0.35">
      <c r="A25" s="30"/>
      <c r="B25" s="30"/>
      <c r="C25" s="30"/>
      <c r="D25" s="30"/>
      <c r="E25" s="31"/>
      <c r="F25" s="31"/>
      <c r="G25" s="30"/>
      <c r="H25" s="31"/>
      <c r="I25" s="31"/>
      <c r="J25" s="31"/>
      <c r="K25" s="31"/>
      <c r="L25" s="31"/>
      <c r="M25" s="30"/>
      <c r="N25" s="30"/>
      <c r="O25" s="30"/>
      <c r="P25" s="30"/>
      <c r="Q25" s="30"/>
      <c r="R25" s="30"/>
      <c r="S25" s="30"/>
      <c r="T25" s="30"/>
      <c r="U25" s="30"/>
    </row>
    <row r="26" spans="1:21" s="5" customFormat="1" x14ac:dyDescent="0.35">
      <c r="A26" s="63" t="s">
        <v>57</v>
      </c>
      <c r="B26" s="63"/>
      <c r="C26" s="63"/>
      <c r="D26" s="63"/>
      <c r="E26" s="63"/>
      <c r="F26" s="63"/>
      <c r="G26" s="63"/>
      <c r="H26" s="30"/>
      <c r="I26" s="31"/>
      <c r="J26" s="31"/>
      <c r="K26" s="31"/>
      <c r="L26" s="30"/>
      <c r="M26" s="30"/>
      <c r="N26" s="30"/>
      <c r="O26" s="30"/>
      <c r="P26" s="30"/>
      <c r="Q26" s="30"/>
      <c r="R26" s="31"/>
      <c r="S26" s="33"/>
      <c r="T26" s="33"/>
      <c r="U26" s="33"/>
    </row>
    <row r="27" spans="1:21" x14ac:dyDescent="0.35">
      <c r="A27" s="32" t="s">
        <v>58</v>
      </c>
      <c r="B27" s="32" t="s">
        <v>59</v>
      </c>
      <c r="C27" s="32" t="s">
        <v>60</v>
      </c>
      <c r="D27" s="32" t="s">
        <v>37</v>
      </c>
      <c r="E27" s="32" t="s">
        <v>38</v>
      </c>
      <c r="F27" s="32" t="s">
        <v>39</v>
      </c>
      <c r="G27" s="32" t="s">
        <v>51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0"/>
      <c r="T27" s="30"/>
      <c r="U27" s="30"/>
    </row>
    <row r="28" spans="1:21" x14ac:dyDescent="0.35">
      <c r="A28" s="52" t="str">
        <f>IFERROR(IF('Investment Case Asks - Monthly'!A28="","",'Investment Case Asks - Monthly'!A28),"")</f>
        <v/>
      </c>
      <c r="B28" s="52" t="str">
        <f>IFERROR(IF('Investment Case Asks - Monthly'!B28="","",'Investment Case Asks - Monthly'!B28),"")</f>
        <v/>
      </c>
      <c r="C28" s="52" t="str">
        <f>IFERROR(IF('Investment Case Asks - Monthly'!C28="","",'Investment Case Asks - Monthly'!C28),"")</f>
        <v/>
      </c>
      <c r="D28" s="34">
        <f>IFERROR(IF('Investment Case Asks - Monthly'!Q28="","",'Investment Case Asks - Monthly'!Q28),"")</f>
        <v>0</v>
      </c>
      <c r="E28" s="54">
        <f>IFERROR(IF('Investment Case Asks - Monthly'!AD28="","",'Investment Case Asks - Monthly'!AD28),"")</f>
        <v>0</v>
      </c>
      <c r="F28" s="54">
        <f>IFERROR(IF('Investment Case Asks - Monthly'!AQ28="","",'Investment Case Asks - Monthly'!AQ28),"")</f>
        <v>0</v>
      </c>
      <c r="G28" s="54" t="str">
        <f>IFERROR(IF('Investment Case Asks - Monthly'!AR28="","",'Investment Case Asks - Monthly'!AR28),"")</f>
        <v/>
      </c>
      <c r="H28" s="30"/>
      <c r="I28" s="31"/>
      <c r="J28" s="31"/>
      <c r="K28" s="31"/>
      <c r="L28" s="30"/>
      <c r="M28" s="30"/>
      <c r="N28" s="30"/>
      <c r="O28" s="30"/>
      <c r="P28" s="30"/>
      <c r="Q28" s="30"/>
      <c r="R28" s="31"/>
      <c r="S28" s="30"/>
      <c r="T28" s="30"/>
      <c r="U28" s="30"/>
    </row>
    <row r="29" spans="1:21" x14ac:dyDescent="0.35">
      <c r="A29" s="52" t="str">
        <f>IFERROR(IF('Investment Case Asks - Monthly'!A29="","",'Investment Case Asks - Monthly'!A29),"")</f>
        <v/>
      </c>
      <c r="B29" s="52" t="str">
        <f>IFERROR(IF('Investment Case Asks - Monthly'!B29="","",'Investment Case Asks - Monthly'!B29),"")</f>
        <v/>
      </c>
      <c r="C29" s="52" t="str">
        <f>IFERROR(IF('Investment Case Asks - Monthly'!C29="","",'Investment Case Asks - Monthly'!C29),"")</f>
        <v/>
      </c>
      <c r="D29" s="34">
        <f>IFERROR(IF('Investment Case Asks - Monthly'!Q29="","",'Investment Case Asks - Monthly'!Q29),"")</f>
        <v>0</v>
      </c>
      <c r="E29" s="54">
        <f>IFERROR(IF('Investment Case Asks - Monthly'!AD29="","",'Investment Case Asks - Monthly'!AD29),"")</f>
        <v>0</v>
      </c>
      <c r="F29" s="58">
        <f>IFERROR(IF('Investment Case Asks - Monthly'!AQ29="","",'Investment Case Asks - Monthly'!AQ29),"")</f>
        <v>0</v>
      </c>
      <c r="G29" s="58" t="str">
        <f>IFERROR(IF('Investment Case Asks - Monthly'!AR29="","",'Investment Case Asks - Monthly'!AR29),"")</f>
        <v/>
      </c>
      <c r="H29" s="30"/>
      <c r="I29" s="31"/>
      <c r="J29" s="31"/>
      <c r="K29" s="31"/>
      <c r="L29" s="30"/>
      <c r="M29" s="30"/>
      <c r="N29" s="30"/>
      <c r="O29" s="30"/>
      <c r="P29" s="30"/>
      <c r="Q29" s="30"/>
      <c r="R29" s="31"/>
      <c r="S29" s="30"/>
      <c r="T29" s="30"/>
      <c r="U29" s="30"/>
    </row>
    <row r="30" spans="1:21" x14ac:dyDescent="0.35">
      <c r="A30" s="52" t="str">
        <f>IFERROR(IF('Investment Case Asks - Monthly'!A30="","",'Investment Case Asks - Monthly'!A30),"")</f>
        <v/>
      </c>
      <c r="B30" s="52" t="str">
        <f>IFERROR(IF('Investment Case Asks - Monthly'!B30="","",'Investment Case Asks - Monthly'!B30),"")</f>
        <v/>
      </c>
      <c r="C30" s="52" t="str">
        <f>IFERROR(IF('Investment Case Asks - Monthly'!C30="","",'Investment Case Asks - Monthly'!C30),"")</f>
        <v/>
      </c>
      <c r="D30" s="34">
        <f>IFERROR(IF('Investment Case Asks - Monthly'!Q30="","",'Investment Case Asks - Monthly'!Q30),"")</f>
        <v>0</v>
      </c>
      <c r="E30" s="54">
        <f>IFERROR(IF('Investment Case Asks - Monthly'!AD30="","",'Investment Case Asks - Monthly'!AD30),"")</f>
        <v>0</v>
      </c>
      <c r="F30" s="58">
        <f>IFERROR(IF('Investment Case Asks - Monthly'!AQ30="","",'Investment Case Asks - Monthly'!AQ30),"")</f>
        <v>0</v>
      </c>
      <c r="G30" s="58" t="str">
        <f>IFERROR(IF('Investment Case Asks - Monthly'!AR30="","",'Investment Case Asks - Monthly'!AR30),"")</f>
        <v/>
      </c>
      <c r="H30" s="30"/>
      <c r="I30" s="31"/>
      <c r="J30" s="31"/>
      <c r="K30" s="31"/>
      <c r="L30" s="30"/>
      <c r="M30" s="30"/>
      <c r="N30" s="30"/>
      <c r="O30" s="30"/>
      <c r="P30" s="30"/>
      <c r="Q30" s="30"/>
      <c r="R30" s="31"/>
      <c r="S30" s="30"/>
      <c r="T30" s="30"/>
      <c r="U30" s="30"/>
    </row>
    <row r="31" spans="1:21" x14ac:dyDescent="0.35">
      <c r="A31" s="52" t="str">
        <f>IFERROR(IF('Investment Case Asks - Monthly'!A31="","",'Investment Case Asks - Monthly'!A31),"")</f>
        <v/>
      </c>
      <c r="B31" s="52" t="str">
        <f>IFERROR(IF('Investment Case Asks - Monthly'!B31="","",'Investment Case Asks - Monthly'!B31),"")</f>
        <v/>
      </c>
      <c r="C31" s="52" t="str">
        <f>IFERROR(IF('Investment Case Asks - Monthly'!C31="","",'Investment Case Asks - Monthly'!C31),"")</f>
        <v/>
      </c>
      <c r="D31" s="34">
        <f>IFERROR(IF('Investment Case Asks - Monthly'!Q31="","",'Investment Case Asks - Monthly'!Q31),"")</f>
        <v>0</v>
      </c>
      <c r="E31" s="54">
        <f>IFERROR(IF('Investment Case Asks - Monthly'!AD31="","",'Investment Case Asks - Monthly'!AD31),"")</f>
        <v>0</v>
      </c>
      <c r="F31" s="58">
        <f>IFERROR(IF('Investment Case Asks - Monthly'!AQ31="","",'Investment Case Asks - Monthly'!AQ31),"")</f>
        <v>0</v>
      </c>
      <c r="G31" s="58" t="str">
        <f>IFERROR(IF('Investment Case Asks - Monthly'!AR31="","",'Investment Case Asks - Monthly'!AR31),"")</f>
        <v/>
      </c>
      <c r="H31" s="30"/>
      <c r="I31" s="31"/>
      <c r="J31" s="31"/>
      <c r="K31" s="31"/>
      <c r="L31" s="30"/>
      <c r="M31" s="30"/>
      <c r="N31" s="30"/>
      <c r="O31" s="30"/>
      <c r="P31" s="30"/>
      <c r="Q31" s="30"/>
      <c r="R31" s="31"/>
      <c r="S31" s="30"/>
      <c r="T31" s="30"/>
      <c r="U31" s="30"/>
    </row>
    <row r="32" spans="1:21" x14ac:dyDescent="0.35">
      <c r="A32" s="52" t="str">
        <f>IFERROR(IF('Investment Case Asks - Monthly'!A32="","",'Investment Case Asks - Monthly'!A32),"")</f>
        <v/>
      </c>
      <c r="B32" s="52" t="str">
        <f>IFERROR(IF('Investment Case Asks - Monthly'!B32="","",'Investment Case Asks - Monthly'!B32),"")</f>
        <v/>
      </c>
      <c r="C32" s="52" t="str">
        <f>IFERROR(IF('Investment Case Asks - Monthly'!C32="","",'Investment Case Asks - Monthly'!C32),"")</f>
        <v/>
      </c>
      <c r="D32" s="34">
        <f>IFERROR(IF('Investment Case Asks - Monthly'!Q32="","",'Investment Case Asks - Monthly'!Q32),"")</f>
        <v>0</v>
      </c>
      <c r="E32" s="54">
        <f>IFERROR(IF('Investment Case Asks - Monthly'!AD32="","",'Investment Case Asks - Monthly'!AD32),"")</f>
        <v>0</v>
      </c>
      <c r="F32" s="58">
        <f>IFERROR(IF('Investment Case Asks - Monthly'!AQ32="","",'Investment Case Asks - Monthly'!AQ32),"")</f>
        <v>0</v>
      </c>
      <c r="G32" s="58" t="str">
        <f>IFERROR(IF('Investment Case Asks - Monthly'!AR32="","",'Investment Case Asks - Monthly'!AR32),"")</f>
        <v/>
      </c>
      <c r="H32" s="30"/>
      <c r="I32" s="31"/>
      <c r="J32" s="31"/>
      <c r="K32" s="31"/>
      <c r="L32" s="30"/>
      <c r="M32" s="30"/>
      <c r="N32" s="30"/>
      <c r="O32" s="30"/>
      <c r="P32" s="30"/>
      <c r="Q32" s="30"/>
      <c r="R32" s="31"/>
      <c r="S32" s="30"/>
      <c r="T32" s="30"/>
      <c r="U32" s="30"/>
    </row>
    <row r="33" spans="1:21" x14ac:dyDescent="0.35">
      <c r="A33" s="52" t="str">
        <f>IFERROR(IF('Investment Case Asks - Monthly'!A33="","",'Investment Case Asks - Monthly'!A33),"")</f>
        <v/>
      </c>
      <c r="B33" s="52" t="str">
        <f>IFERROR(IF('Investment Case Asks - Monthly'!B33="","",'Investment Case Asks - Monthly'!B33),"")</f>
        <v/>
      </c>
      <c r="C33" s="52" t="str">
        <f>IFERROR(IF('Investment Case Asks - Monthly'!C33="","",'Investment Case Asks - Monthly'!C33),"")</f>
        <v/>
      </c>
      <c r="D33" s="34">
        <f>IFERROR(IF('Investment Case Asks - Monthly'!Q33="","",'Investment Case Asks - Monthly'!Q33),"")</f>
        <v>0</v>
      </c>
      <c r="E33" s="54">
        <f>IFERROR(IF('Investment Case Asks - Monthly'!AD33="","",'Investment Case Asks - Monthly'!AD33),"")</f>
        <v>0</v>
      </c>
      <c r="F33" s="58">
        <f>IFERROR(IF('Investment Case Asks - Monthly'!AQ33="","",'Investment Case Asks - Monthly'!AQ33),"")</f>
        <v>0</v>
      </c>
      <c r="G33" s="58" t="str">
        <f>IFERROR(IF('Investment Case Asks - Monthly'!AR33="","",'Investment Case Asks - Monthly'!AR33),"")</f>
        <v/>
      </c>
      <c r="H33" s="30"/>
      <c r="I33" s="31"/>
      <c r="J33" s="31"/>
      <c r="K33" s="31"/>
      <c r="L33" s="30"/>
      <c r="M33" s="30"/>
      <c r="N33" s="30"/>
      <c r="O33" s="30"/>
      <c r="P33" s="30"/>
      <c r="Q33" s="30"/>
      <c r="R33" s="31"/>
      <c r="S33" s="30"/>
      <c r="T33" s="30"/>
      <c r="U33" s="30"/>
    </row>
    <row r="34" spans="1:21" x14ac:dyDescent="0.35">
      <c r="A34" s="52" t="str">
        <f>IFERROR(IF('Investment Case Asks - Monthly'!A34="","",'Investment Case Asks - Monthly'!A34),"")</f>
        <v/>
      </c>
      <c r="B34" s="52" t="str">
        <f>IFERROR(IF('Investment Case Asks - Monthly'!B34="","",'Investment Case Asks - Monthly'!B34),"")</f>
        <v/>
      </c>
      <c r="C34" s="52" t="str">
        <f>IFERROR(IF('Investment Case Asks - Monthly'!C34="","",'Investment Case Asks - Monthly'!C34),"")</f>
        <v/>
      </c>
      <c r="D34" s="34">
        <f>IFERROR(IF('Investment Case Asks - Monthly'!Q34="","",'Investment Case Asks - Monthly'!Q34),"")</f>
        <v>0</v>
      </c>
      <c r="E34" s="54">
        <f>IFERROR(IF('Investment Case Asks - Monthly'!AD34="","",'Investment Case Asks - Monthly'!AD34),"")</f>
        <v>0</v>
      </c>
      <c r="F34" s="58">
        <f>IFERROR(IF('Investment Case Asks - Monthly'!AQ34="","",'Investment Case Asks - Monthly'!AQ34),"")</f>
        <v>0</v>
      </c>
      <c r="G34" s="58" t="str">
        <f>IFERROR(IF('Investment Case Asks - Monthly'!AR34="","",'Investment Case Asks - Monthly'!AR34),"")</f>
        <v/>
      </c>
      <c r="H34" s="30"/>
      <c r="I34" s="31"/>
      <c r="J34" s="31"/>
      <c r="K34" s="31"/>
      <c r="L34" s="30"/>
      <c r="M34" s="30"/>
      <c r="N34" s="30"/>
      <c r="O34" s="30"/>
      <c r="P34" s="30"/>
      <c r="Q34" s="30"/>
      <c r="R34" s="31"/>
      <c r="S34" s="30"/>
      <c r="T34" s="30"/>
      <c r="U34" s="30"/>
    </row>
    <row r="35" spans="1:21" x14ac:dyDescent="0.35">
      <c r="A35" s="52" t="str">
        <f>IFERROR(IF('Investment Case Asks - Monthly'!A35="","",'Investment Case Asks - Monthly'!A35),"")</f>
        <v/>
      </c>
      <c r="B35" s="52" t="str">
        <f>IFERROR(IF('Investment Case Asks - Monthly'!B35="","",'Investment Case Asks - Monthly'!B35),"")</f>
        <v/>
      </c>
      <c r="C35" s="52" t="str">
        <f>IFERROR(IF('Investment Case Asks - Monthly'!C35="","",'Investment Case Asks - Monthly'!C35),"")</f>
        <v/>
      </c>
      <c r="D35" s="34">
        <f>IFERROR(IF('Investment Case Asks - Monthly'!Q35="","",'Investment Case Asks - Monthly'!Q35),"")</f>
        <v>0</v>
      </c>
      <c r="E35" s="54">
        <f>IFERROR(IF('Investment Case Asks - Monthly'!AD35="","",'Investment Case Asks - Monthly'!AD35),"")</f>
        <v>0</v>
      </c>
      <c r="F35" s="58">
        <f>IFERROR(IF('Investment Case Asks - Monthly'!AQ35="","",'Investment Case Asks - Monthly'!AQ35),"")</f>
        <v>0</v>
      </c>
      <c r="G35" s="58" t="str">
        <f>IFERROR(IF('Investment Case Asks - Monthly'!AR35="","",'Investment Case Asks - Monthly'!AR35),"")</f>
        <v/>
      </c>
      <c r="H35" s="30"/>
      <c r="I35" s="31"/>
      <c r="J35" s="31"/>
      <c r="K35" s="31"/>
      <c r="L35" s="30"/>
      <c r="M35" s="30"/>
      <c r="N35" s="30"/>
      <c r="O35" s="30"/>
      <c r="P35" s="30"/>
      <c r="Q35" s="30"/>
      <c r="R35" s="31"/>
      <c r="S35" s="30"/>
      <c r="T35" s="30"/>
      <c r="U35" s="30"/>
    </row>
    <row r="36" spans="1:21" x14ac:dyDescent="0.35">
      <c r="A36" s="52" t="str">
        <f>IFERROR(IF('Investment Case Asks - Monthly'!A36="","",'Investment Case Asks - Monthly'!A36),"")</f>
        <v/>
      </c>
      <c r="B36" s="52" t="str">
        <f>IFERROR(IF('Investment Case Asks - Monthly'!B36="","",'Investment Case Asks - Monthly'!B36),"")</f>
        <v/>
      </c>
      <c r="C36" s="52" t="str">
        <f>IFERROR(IF('Investment Case Asks - Monthly'!C36="","",'Investment Case Asks - Monthly'!C36),"")</f>
        <v/>
      </c>
      <c r="D36" s="34">
        <f>IFERROR(IF('Investment Case Asks - Monthly'!Q36="","",'Investment Case Asks - Monthly'!Q36),"")</f>
        <v>0</v>
      </c>
      <c r="E36" s="54">
        <f>IFERROR(IF('Investment Case Asks - Monthly'!AD36="","",'Investment Case Asks - Monthly'!AD36),"")</f>
        <v>0</v>
      </c>
      <c r="F36" s="58">
        <f>IFERROR(IF('Investment Case Asks - Monthly'!AQ36="","",'Investment Case Asks - Monthly'!AQ36),"")</f>
        <v>0</v>
      </c>
      <c r="G36" s="58" t="str">
        <f>IFERROR(IF('Investment Case Asks - Monthly'!AR36="","",'Investment Case Asks - Monthly'!AR36),"")</f>
        <v/>
      </c>
      <c r="H36" s="30"/>
      <c r="I36" s="31"/>
      <c r="J36" s="31"/>
      <c r="K36" s="31"/>
      <c r="L36" s="30"/>
      <c r="M36" s="30"/>
      <c r="N36" s="30"/>
      <c r="O36" s="30"/>
      <c r="P36" s="30"/>
      <c r="Q36" s="30"/>
      <c r="R36" s="31"/>
      <c r="S36" s="30"/>
      <c r="T36" s="30"/>
      <c r="U36" s="30"/>
    </row>
    <row r="37" spans="1:21" x14ac:dyDescent="0.35">
      <c r="A37" s="52" t="str">
        <f>IFERROR(IF('Investment Case Asks - Monthly'!A37="","",'Investment Case Asks - Monthly'!A37),"")</f>
        <v/>
      </c>
      <c r="B37" s="52" t="str">
        <f>IFERROR(IF('Investment Case Asks - Monthly'!B37="","",'Investment Case Asks - Monthly'!B37),"")</f>
        <v/>
      </c>
      <c r="C37" s="52" t="str">
        <f>IFERROR(IF('Investment Case Asks - Monthly'!C37="","",'Investment Case Asks - Monthly'!C37),"")</f>
        <v/>
      </c>
      <c r="D37" s="34">
        <f>IFERROR(IF('Investment Case Asks - Monthly'!Q37="","",'Investment Case Asks - Monthly'!Q37),"")</f>
        <v>0</v>
      </c>
      <c r="E37" s="54">
        <f>IFERROR(IF('Investment Case Asks - Monthly'!AD37="","",'Investment Case Asks - Monthly'!AD37),"")</f>
        <v>0</v>
      </c>
      <c r="F37" s="58">
        <f>IFERROR(IF('Investment Case Asks - Monthly'!AQ37="","",'Investment Case Asks - Monthly'!AQ37),"")</f>
        <v>0</v>
      </c>
      <c r="G37" s="58" t="str">
        <f>IFERROR(IF('Investment Case Asks - Monthly'!AR37="","",'Investment Case Asks - Monthly'!AR37),"")</f>
        <v/>
      </c>
      <c r="H37" s="30"/>
      <c r="I37" s="31"/>
      <c r="J37" s="31"/>
      <c r="K37" s="31"/>
      <c r="L37" s="30"/>
      <c r="M37" s="30"/>
      <c r="N37" s="30"/>
      <c r="O37" s="30"/>
      <c r="P37" s="30"/>
      <c r="Q37" s="30"/>
      <c r="R37" s="31"/>
      <c r="S37" s="30"/>
      <c r="T37" s="30"/>
      <c r="U37" s="30"/>
    </row>
    <row r="38" spans="1:21" x14ac:dyDescent="0.35">
      <c r="A38" s="52" t="str">
        <f>IFERROR(IF('Investment Case Asks - Monthly'!A38="","",'Investment Case Asks - Monthly'!A38),"")</f>
        <v/>
      </c>
      <c r="B38" s="52" t="str">
        <f>IFERROR(IF('Investment Case Asks - Monthly'!B38="","",'Investment Case Asks - Monthly'!B38),"")</f>
        <v/>
      </c>
      <c r="C38" s="52" t="str">
        <f>IFERROR(IF('Investment Case Asks - Monthly'!C38="","",'Investment Case Asks - Monthly'!C38),"")</f>
        <v/>
      </c>
      <c r="D38" s="34">
        <f>IFERROR(IF('Investment Case Asks - Monthly'!Q38="","",'Investment Case Asks - Monthly'!Q38),"")</f>
        <v>0</v>
      </c>
      <c r="E38" s="54">
        <f>IFERROR(IF('Investment Case Asks - Monthly'!AD38="","",'Investment Case Asks - Monthly'!AD38),"")</f>
        <v>0</v>
      </c>
      <c r="F38" s="58">
        <f>IFERROR(IF('Investment Case Asks - Monthly'!AQ38="","",'Investment Case Asks - Monthly'!AQ38),"")</f>
        <v>0</v>
      </c>
      <c r="G38" s="58" t="str">
        <f>IFERROR(IF('Investment Case Asks - Monthly'!AR38="","",'Investment Case Asks - Monthly'!AR38),"")</f>
        <v/>
      </c>
      <c r="H38" s="30"/>
      <c r="I38" s="31"/>
      <c r="J38" s="31"/>
      <c r="K38" s="31"/>
      <c r="L38" s="30"/>
      <c r="M38" s="30"/>
      <c r="N38" s="30"/>
      <c r="O38" s="30"/>
      <c r="P38" s="30"/>
      <c r="Q38" s="30"/>
      <c r="R38" s="31"/>
      <c r="S38" s="30"/>
      <c r="T38" s="30"/>
      <c r="U38" s="30"/>
    </row>
    <row r="39" spans="1:21" x14ac:dyDescent="0.35">
      <c r="A39" s="52" t="str">
        <f>IFERROR(IF('Investment Case Asks - Monthly'!A39="","",'Investment Case Asks - Monthly'!A39),"")</f>
        <v/>
      </c>
      <c r="B39" s="52" t="str">
        <f>IFERROR(IF('Investment Case Asks - Monthly'!B39="","",'Investment Case Asks - Monthly'!B39),"")</f>
        <v/>
      </c>
      <c r="C39" s="52" t="str">
        <f>IFERROR(IF('Investment Case Asks - Monthly'!C39="","",'Investment Case Asks - Monthly'!C39),"")</f>
        <v/>
      </c>
      <c r="D39" s="34">
        <f>IFERROR(IF('Investment Case Asks - Monthly'!Q39="","",'Investment Case Asks - Monthly'!Q39),"")</f>
        <v>0</v>
      </c>
      <c r="E39" s="54">
        <f>IFERROR(IF('Investment Case Asks - Monthly'!AD39="","",'Investment Case Asks - Monthly'!AD39),"")</f>
        <v>0</v>
      </c>
      <c r="F39" s="58">
        <f>IFERROR(IF('Investment Case Asks - Monthly'!AQ39="","",'Investment Case Asks - Monthly'!AQ39),"")</f>
        <v>0</v>
      </c>
      <c r="G39" s="58" t="str">
        <f>IFERROR(IF('Investment Case Asks - Monthly'!AR39="","",'Investment Case Asks - Monthly'!AR39),"")</f>
        <v/>
      </c>
      <c r="H39" s="30"/>
      <c r="I39" s="31"/>
      <c r="J39" s="31"/>
      <c r="K39" s="31"/>
      <c r="L39" s="30"/>
      <c r="M39" s="30"/>
      <c r="N39" s="30"/>
      <c r="O39" s="30"/>
      <c r="P39" s="30"/>
      <c r="Q39" s="30"/>
      <c r="R39" s="31"/>
      <c r="S39" s="30"/>
      <c r="T39" s="30"/>
      <c r="U39" s="30"/>
    </row>
    <row r="40" spans="1:21" x14ac:dyDescent="0.35">
      <c r="A40" s="52" t="str">
        <f>IFERROR(IF('Investment Case Asks - Monthly'!A40="","",'Investment Case Asks - Monthly'!A40),"")</f>
        <v/>
      </c>
      <c r="B40" s="52" t="str">
        <f>IFERROR(IF('Investment Case Asks - Monthly'!B40="","",'Investment Case Asks - Monthly'!B40),"")</f>
        <v/>
      </c>
      <c r="C40" s="52" t="str">
        <f>IFERROR(IF('Investment Case Asks - Monthly'!C40="","",'Investment Case Asks - Monthly'!C40),"")</f>
        <v/>
      </c>
      <c r="D40" s="34">
        <f>IFERROR(IF('Investment Case Asks - Monthly'!Q40="","",'Investment Case Asks - Monthly'!Q40),"")</f>
        <v>0</v>
      </c>
      <c r="E40" s="54">
        <f>IFERROR(IF('Investment Case Asks - Monthly'!AD40="","",'Investment Case Asks - Monthly'!AD40),"")</f>
        <v>0</v>
      </c>
      <c r="F40" s="58">
        <f>IFERROR(IF('Investment Case Asks - Monthly'!AQ40="","",'Investment Case Asks - Monthly'!AQ40),"")</f>
        <v>0</v>
      </c>
      <c r="G40" s="58" t="str">
        <f>IFERROR(IF('Investment Case Asks - Monthly'!AR40="","",'Investment Case Asks - Monthly'!AR40),"")</f>
        <v/>
      </c>
      <c r="H40" s="30"/>
      <c r="I40" s="31"/>
      <c r="J40" s="31"/>
      <c r="K40" s="31"/>
      <c r="L40" s="30"/>
      <c r="M40" s="30"/>
      <c r="N40" s="30"/>
      <c r="O40" s="30"/>
      <c r="P40" s="30"/>
      <c r="Q40" s="30"/>
      <c r="R40" s="31"/>
      <c r="S40" s="30"/>
      <c r="T40" s="30"/>
      <c r="U40" s="30"/>
    </row>
    <row r="41" spans="1:21" x14ac:dyDescent="0.35">
      <c r="A41" s="52" t="str">
        <f>IFERROR(IF('Investment Case Asks - Monthly'!A41="","",'Investment Case Asks - Monthly'!A41),"")</f>
        <v/>
      </c>
      <c r="B41" s="52" t="str">
        <f>IFERROR(IF('Investment Case Asks - Monthly'!B41="","",'Investment Case Asks - Monthly'!B41),"")</f>
        <v/>
      </c>
      <c r="C41" s="52" t="str">
        <f>IFERROR(IF('Investment Case Asks - Monthly'!C41="","",'Investment Case Asks - Monthly'!C41),"")</f>
        <v/>
      </c>
      <c r="D41" s="34">
        <f>IFERROR(IF('Investment Case Asks - Monthly'!Q41="","",'Investment Case Asks - Monthly'!Q41),"")</f>
        <v>0</v>
      </c>
      <c r="E41" s="54">
        <f>IFERROR(IF('Investment Case Asks - Monthly'!AD41="","",'Investment Case Asks - Monthly'!AD41),"")</f>
        <v>0</v>
      </c>
      <c r="F41" s="58">
        <f>IFERROR(IF('Investment Case Asks - Monthly'!AQ41="","",'Investment Case Asks - Monthly'!AQ41),"")</f>
        <v>0</v>
      </c>
      <c r="G41" s="58" t="str">
        <f>IFERROR(IF('Investment Case Asks - Monthly'!AR41="","",'Investment Case Asks - Monthly'!AR41),"")</f>
        <v/>
      </c>
      <c r="H41" s="30"/>
      <c r="I41" s="31"/>
      <c r="J41" s="31"/>
      <c r="K41" s="31"/>
      <c r="L41" s="30"/>
      <c r="M41" s="30"/>
      <c r="N41" s="30"/>
      <c r="O41" s="30"/>
      <c r="P41" s="30"/>
      <c r="Q41" s="30"/>
      <c r="R41" s="31"/>
      <c r="S41" s="30"/>
      <c r="T41" s="30"/>
      <c r="U41" s="30"/>
    </row>
    <row r="42" spans="1:21" x14ac:dyDescent="0.35">
      <c r="A42" s="52" t="str">
        <f>IFERROR(IF('Investment Case Asks - Monthly'!A42="","",'Investment Case Asks - Monthly'!A42),"")</f>
        <v/>
      </c>
      <c r="B42" s="52" t="str">
        <f>IFERROR(IF('Investment Case Asks - Monthly'!B42="","",'Investment Case Asks - Monthly'!B42),"")</f>
        <v/>
      </c>
      <c r="C42" s="52" t="str">
        <f>IFERROR(IF('Investment Case Asks - Monthly'!C42="","",'Investment Case Asks - Monthly'!C42),"")</f>
        <v/>
      </c>
      <c r="D42" s="34">
        <f>IFERROR(IF('Investment Case Asks - Monthly'!Q42="","",'Investment Case Asks - Monthly'!Q42),"")</f>
        <v>0</v>
      </c>
      <c r="E42" s="54">
        <f>IFERROR(IF('Investment Case Asks - Monthly'!AD42="","",'Investment Case Asks - Monthly'!AD42),"")</f>
        <v>0</v>
      </c>
      <c r="F42" s="58">
        <f>IFERROR(IF('Investment Case Asks - Monthly'!AQ42="","",'Investment Case Asks - Monthly'!AQ42),"")</f>
        <v>0</v>
      </c>
      <c r="G42" s="58" t="str">
        <f>IFERROR(IF('Investment Case Asks - Monthly'!AR42="","",'Investment Case Asks - Monthly'!AR42),"")</f>
        <v/>
      </c>
      <c r="H42" s="30"/>
      <c r="I42" s="31"/>
      <c r="J42" s="31"/>
      <c r="K42" s="31"/>
      <c r="L42" s="30"/>
      <c r="M42" s="30"/>
      <c r="N42" s="30"/>
      <c r="O42" s="30"/>
      <c r="P42" s="30"/>
      <c r="Q42" s="30"/>
      <c r="R42" s="31"/>
      <c r="S42" s="30"/>
      <c r="T42" s="30"/>
      <c r="U42" s="30"/>
    </row>
    <row r="43" spans="1:21" x14ac:dyDescent="0.35">
      <c r="A43" s="30"/>
      <c r="B43" s="30"/>
      <c r="C43" s="30"/>
      <c r="D43" s="30"/>
      <c r="E43" s="31"/>
      <c r="F43" s="30"/>
      <c r="G43" s="30"/>
      <c r="H43" s="30"/>
      <c r="I43" s="31"/>
      <c r="J43" s="31"/>
      <c r="K43" s="31"/>
      <c r="L43" s="30"/>
      <c r="M43" s="30"/>
      <c r="N43" s="30"/>
      <c r="O43" s="30"/>
      <c r="P43" s="30"/>
      <c r="Q43" s="30"/>
      <c r="R43" s="31"/>
      <c r="S43" s="30"/>
      <c r="T43" s="30"/>
      <c r="U43" s="30"/>
    </row>
    <row r="44" spans="1:21" ht="15" customHeight="1" thickBot="1" x14ac:dyDescent="0.4">
      <c r="A44" s="35" t="s">
        <v>61</v>
      </c>
      <c r="B44" s="35"/>
      <c r="C44" s="35"/>
      <c r="D44" s="36">
        <f>SUM(D28:D42)</f>
        <v>0</v>
      </c>
      <c r="E44" s="36">
        <f>SUM(E28:E42)</f>
        <v>0</v>
      </c>
      <c r="F44" s="36">
        <f>SUM(F28:F42)</f>
        <v>0</v>
      </c>
      <c r="G44" s="35"/>
      <c r="H44" s="30"/>
      <c r="I44" s="31"/>
      <c r="J44" s="31"/>
      <c r="K44" s="31"/>
      <c r="L44" s="30"/>
      <c r="M44" s="30"/>
      <c r="N44" s="30"/>
      <c r="O44" s="30"/>
      <c r="P44" s="30"/>
      <c r="Q44" s="30"/>
      <c r="R44" s="31"/>
      <c r="S44" s="30"/>
      <c r="T44" s="30"/>
      <c r="U44" s="30"/>
    </row>
    <row r="45" spans="1:21" ht="15" customHeight="1" thickTop="1" x14ac:dyDescent="0.35">
      <c r="L45" s="3"/>
      <c r="O45" s="3"/>
      <c r="P45" s="3"/>
      <c r="Q45" s="3"/>
      <c r="S45" s="3"/>
    </row>
    <row r="46" spans="1:21" x14ac:dyDescent="0.35">
      <c r="L46" s="3"/>
      <c r="O46" s="3"/>
      <c r="P46" s="3"/>
      <c r="Q46" s="3"/>
    </row>
    <row r="47" spans="1:21" x14ac:dyDescent="0.35">
      <c r="O47" s="3"/>
      <c r="P47" s="3"/>
      <c r="Q47" s="3"/>
      <c r="R47" s="3"/>
    </row>
    <row r="48" spans="1:21" x14ac:dyDescent="0.35">
      <c r="O48" s="3"/>
      <c r="P48" s="3"/>
      <c r="Q48" s="3"/>
      <c r="R48" s="3"/>
    </row>
    <row r="49" spans="15:18" x14ac:dyDescent="0.35">
      <c r="O49" s="3"/>
      <c r="P49" s="3"/>
      <c r="Q49" s="3"/>
      <c r="R49" s="3"/>
    </row>
    <row r="50" spans="15:18" x14ac:dyDescent="0.35">
      <c r="O50" s="3"/>
      <c r="P50" s="3"/>
      <c r="Q50" s="3"/>
      <c r="R50" s="3"/>
    </row>
  </sheetData>
  <sheetProtection algorithmName="SHA-512" hashValue="h0b0joi3kKrs88ZBJG7c+RXekMwym8GXpNR4jbg+H3aqCOxpPXoFzSmjmV1smiUfai7fzVy3P/zw3RLvgjhDZw==" saltValue="2FEMJEt4B2nEwxYpoeS9UA==" spinCount="100000" sheet="1" objects="1" scenarios="1" selectLockedCells="1" selectUnlockedCells="1"/>
  <mergeCells count="4">
    <mergeCell ref="A3:R3"/>
    <mergeCell ref="A1:W1"/>
    <mergeCell ref="T3:W3"/>
    <mergeCell ref="A26:G26"/>
  </mergeCells>
  <pageMargins left="0.7" right="0.7" top="0.75" bottom="0.75" header="0.3" footer="0.3"/>
  <customProperties>
    <customPr name="isReportSheetChanged" r:id="rId1"/>
  </customProperties>
  <ignoredErrors>
    <ignoredError sqref="I5:Q21" calculatedColumn="1"/>
    <ignoredError sqref="R5:R21 A5:H22 I22:R22 A28:G44" unlockedFormula="1" calculatedColumn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0"/>
  <sheetViews>
    <sheetView zoomScale="60" zoomScaleNormal="60" workbookViewId="0">
      <selection activeCell="K32" sqref="K32"/>
    </sheetView>
  </sheetViews>
  <sheetFormatPr defaultRowHeight="14.5" x14ac:dyDescent="0.35"/>
  <cols>
    <col min="1" max="1" width="31.54296875" style="3" customWidth="1"/>
    <col min="2" max="2" width="28.7265625" style="3" bestFit="1" customWidth="1"/>
    <col min="3" max="3" width="21.90625" style="3" bestFit="1" customWidth="1"/>
    <col min="4" max="4" width="28.26953125" style="3" bestFit="1" customWidth="1"/>
    <col min="5" max="5" width="28.26953125" style="4" bestFit="1" customWidth="1"/>
    <col min="6" max="6" width="16.453125" style="4" bestFit="1" customWidth="1"/>
    <col min="7" max="7" width="17.6328125" style="4" bestFit="1" customWidth="1"/>
    <col min="8" max="8" width="15.36328125" style="4" bestFit="1" customWidth="1"/>
    <col min="9" max="9" width="14.81640625" style="4" bestFit="1" customWidth="1"/>
    <col min="10" max="10" width="19.1796875" style="4" bestFit="1" customWidth="1"/>
    <col min="11" max="11" width="15.36328125" style="4" bestFit="1" customWidth="1"/>
    <col min="12" max="12" width="15.7265625" style="4" bestFit="1" customWidth="1"/>
    <col min="13" max="13" width="14.36328125" style="3" bestFit="1" customWidth="1"/>
    <col min="14" max="14" width="23.453125" style="3" bestFit="1" customWidth="1"/>
    <col min="15" max="15" width="14.6328125" style="4" bestFit="1" customWidth="1"/>
    <col min="16" max="16" width="14.36328125" style="4" bestFit="1" customWidth="1"/>
    <col min="17" max="17" width="29.1796875" style="4" bestFit="1" customWidth="1"/>
    <col min="18" max="18" width="14.36328125" style="4" bestFit="1" customWidth="1"/>
    <col min="19" max="19" width="14.81640625" style="4" bestFit="1" customWidth="1"/>
    <col min="20" max="20" width="14.6328125" style="4" bestFit="1" customWidth="1"/>
    <col min="21" max="21" width="14.36328125" style="4" bestFit="1" customWidth="1"/>
    <col min="22" max="22" width="14.81640625" style="4" bestFit="1" customWidth="1"/>
    <col min="23" max="23" width="14.36328125" style="4" bestFit="1" customWidth="1"/>
    <col min="24" max="24" width="14.1796875" style="4" bestFit="1" customWidth="1"/>
    <col min="25" max="25" width="14.6328125" style="4" bestFit="1" customWidth="1"/>
    <col min="26" max="26" width="14.36328125" style="4" bestFit="1" customWidth="1"/>
    <col min="27" max="27" width="29.1796875" style="4" bestFit="1" customWidth="1"/>
    <col min="28" max="28" width="14.6328125" style="4" bestFit="1" customWidth="1"/>
    <col min="29" max="29" width="14.36328125" style="4" bestFit="1" customWidth="1"/>
    <col min="30" max="30" width="29.1796875" style="4" bestFit="1" customWidth="1"/>
    <col min="31" max="31" width="14.36328125" style="4" bestFit="1" customWidth="1"/>
    <col min="32" max="32" width="14.81640625" style="4" bestFit="1" customWidth="1"/>
    <col min="33" max="33" width="14.6328125" style="4" bestFit="1" customWidth="1"/>
    <col min="34" max="34" width="14.36328125" style="4" bestFit="1" customWidth="1"/>
    <col min="35" max="35" width="14.81640625" style="4" bestFit="1" customWidth="1"/>
    <col min="36" max="36" width="14.36328125" style="4" bestFit="1" customWidth="1"/>
    <col min="37" max="37" width="14.1796875" style="4" bestFit="1" customWidth="1"/>
    <col min="38" max="38" width="14.6328125" style="4" bestFit="1" customWidth="1"/>
    <col min="39" max="39" width="14.36328125" style="4" bestFit="1" customWidth="1"/>
    <col min="40" max="40" width="29.1796875" style="4" bestFit="1" customWidth="1"/>
    <col min="41" max="41" width="14.6328125" style="4" bestFit="1" customWidth="1"/>
    <col min="42" max="42" width="14.36328125" style="4" bestFit="1" customWidth="1"/>
    <col min="43" max="43" width="29.1796875" style="4" bestFit="1" customWidth="1"/>
    <col min="44" max="44" width="30.36328125" style="4" bestFit="1" customWidth="1"/>
    <col min="45" max="45" width="14.81640625" style="4" bestFit="1" customWidth="1"/>
    <col min="46" max="46" width="14" style="4" bestFit="1" customWidth="1"/>
    <col min="47" max="47" width="13.453125" style="4" bestFit="1" customWidth="1"/>
    <col min="48" max="48" width="14.453125" style="4" bestFit="1" customWidth="1"/>
    <col min="49" max="49" width="14.36328125" style="4" bestFit="1" customWidth="1"/>
    <col min="50" max="50" width="14.1796875" style="4" bestFit="1" customWidth="1"/>
    <col min="51" max="51" width="14.6328125" style="4" bestFit="1" customWidth="1"/>
    <col min="52" max="52" width="14.36328125" style="4" bestFit="1" customWidth="1"/>
    <col min="53" max="53" width="29.1796875" style="4" bestFit="1" customWidth="1"/>
    <col min="54" max="54" width="30.36328125" style="4" bestFit="1" customWidth="1"/>
    <col min="55" max="55" width="11" style="4" customWidth="1"/>
    <col min="56" max="56" width="8.7265625" style="3" customWidth="1"/>
    <col min="57" max="16384" width="8.7265625" style="3"/>
  </cols>
  <sheetData>
    <row r="1" spans="1:55" x14ac:dyDescent="0.35">
      <c r="A1" s="63" t="s">
        <v>163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2"/>
    </row>
    <row r="2" spans="1:55" x14ac:dyDescent="0.35">
      <c r="A2" s="30"/>
      <c r="B2" s="30"/>
      <c r="C2" s="30"/>
      <c r="D2" s="30"/>
      <c r="E2" s="31"/>
      <c r="F2" s="31"/>
      <c r="G2" s="31"/>
      <c r="H2" s="31"/>
      <c r="I2" s="31"/>
      <c r="J2" s="31"/>
      <c r="K2" s="31"/>
      <c r="L2" s="31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1"/>
    </row>
    <row r="3" spans="1:55" x14ac:dyDescent="0.35">
      <c r="A3" s="63" t="s">
        <v>42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31"/>
    </row>
    <row r="4" spans="1:55" s="5" customFormat="1" x14ac:dyDescent="0.35">
      <c r="A4" s="32" t="s">
        <v>43</v>
      </c>
      <c r="B4" s="32" t="s">
        <v>44</v>
      </c>
      <c r="C4" s="32" t="s">
        <v>45</v>
      </c>
      <c r="D4" s="32" t="s">
        <v>46</v>
      </c>
      <c r="E4" s="32" t="s">
        <v>47</v>
      </c>
      <c r="F4" s="32" t="s">
        <v>48</v>
      </c>
      <c r="G4" s="32" t="s">
        <v>49</v>
      </c>
      <c r="H4" s="32" t="s">
        <v>50</v>
      </c>
      <c r="I4" s="48" t="s">
        <v>3</v>
      </c>
      <c r="J4" s="48" t="s">
        <v>5</v>
      </c>
      <c r="K4" s="48" t="s">
        <v>6</v>
      </c>
      <c r="L4" s="48" t="s">
        <v>7</v>
      </c>
      <c r="M4" s="48" t="s">
        <v>8</v>
      </c>
      <c r="N4" s="48" t="s">
        <v>62</v>
      </c>
      <c r="O4" s="51" t="s">
        <v>127</v>
      </c>
      <c r="P4" s="51" t="s">
        <v>128</v>
      </c>
      <c r="Q4" s="51" t="s">
        <v>129</v>
      </c>
      <c r="R4" s="51" t="s">
        <v>130</v>
      </c>
      <c r="S4" s="51" t="s">
        <v>131</v>
      </c>
      <c r="T4" s="51" t="s">
        <v>132</v>
      </c>
      <c r="U4" s="51" t="s">
        <v>133</v>
      </c>
      <c r="V4" s="51" t="s">
        <v>134</v>
      </c>
      <c r="W4" s="51" t="s">
        <v>135</v>
      </c>
      <c r="X4" s="51" t="s">
        <v>136</v>
      </c>
      <c r="Y4" s="51" t="s">
        <v>137</v>
      </c>
      <c r="Z4" s="51" t="s">
        <v>138</v>
      </c>
      <c r="AA4" s="51" t="s">
        <v>37</v>
      </c>
      <c r="AB4" s="51" t="s">
        <v>139</v>
      </c>
      <c r="AC4" s="51" t="s">
        <v>140</v>
      </c>
      <c r="AD4" s="51" t="s">
        <v>141</v>
      </c>
      <c r="AE4" s="51" t="s">
        <v>142</v>
      </c>
      <c r="AF4" s="51" t="s">
        <v>143</v>
      </c>
      <c r="AG4" s="51" t="s">
        <v>144</v>
      </c>
      <c r="AH4" s="51" t="s">
        <v>145</v>
      </c>
      <c r="AI4" s="51" t="s">
        <v>146</v>
      </c>
      <c r="AJ4" s="51" t="s">
        <v>147</v>
      </c>
      <c r="AK4" s="51" t="s">
        <v>148</v>
      </c>
      <c r="AL4" s="51" t="s">
        <v>149</v>
      </c>
      <c r="AM4" s="51" t="s">
        <v>150</v>
      </c>
      <c r="AN4" s="51" t="s">
        <v>38</v>
      </c>
      <c r="AO4" s="51" t="s">
        <v>151</v>
      </c>
      <c r="AP4" s="51" t="s">
        <v>152</v>
      </c>
      <c r="AQ4" s="51" t="s">
        <v>153</v>
      </c>
      <c r="AR4" s="51" t="s">
        <v>154</v>
      </c>
      <c r="AS4" s="51" t="s">
        <v>155</v>
      </c>
      <c r="AT4" s="51" t="s">
        <v>156</v>
      </c>
      <c r="AU4" s="51" t="s">
        <v>157</v>
      </c>
      <c r="AV4" s="51" t="s">
        <v>158</v>
      </c>
      <c r="AW4" s="51" t="s">
        <v>159</v>
      </c>
      <c r="AX4" s="51" t="s">
        <v>160</v>
      </c>
      <c r="AY4" s="51" t="s">
        <v>161</v>
      </c>
      <c r="AZ4" s="51" t="s">
        <v>162</v>
      </c>
      <c r="BA4" s="51" t="s">
        <v>39</v>
      </c>
      <c r="BB4" s="32" t="s">
        <v>51</v>
      </c>
      <c r="BC4" s="33"/>
    </row>
    <row r="5" spans="1:55" x14ac:dyDescent="0.35">
      <c r="A5" s="69"/>
      <c r="B5" s="69"/>
      <c r="C5" s="69"/>
      <c r="D5" s="70"/>
      <c r="E5" s="71"/>
      <c r="F5" s="70"/>
      <c r="G5" s="71"/>
      <c r="H5" s="72"/>
      <c r="I5" s="50" t="str">
        <f t="shared" ref="I5:I20" si="0">IF(COUNTA($A5:$H5)&gt;0,IFERROR($G5*$H5,0),"")</f>
        <v/>
      </c>
      <c r="J5" s="50" t="str">
        <f>IF(COUNTA($A5:$H5)&gt;0,IFERROR($G5*Summary!$C$46/Summary!$C$43,0),"")</f>
        <v/>
      </c>
      <c r="K5" s="50" t="str">
        <f>IF(COUNTA($A5:$H5)&gt;0,IFERROR($G5*Summary!$C$47/Summary!$C$43,0),"")</f>
        <v/>
      </c>
      <c r="L5" s="50" t="str">
        <f>IF(COUNTA($A5:$H5)&gt;0,IFERROR($G5*Summary!$C$48/Summary!$C$43,0),"")</f>
        <v/>
      </c>
      <c r="M5" s="50" t="str">
        <f>IF(COUNTA($A5:$H5)&gt;0,IFERROR($G5*Summary!$C$49/Summary!$C$43,0),"")</f>
        <v/>
      </c>
      <c r="N5" s="50" t="str">
        <f t="shared" ref="N5:N20" si="1">IF(COUNTA($A5:$H5)&gt;0,IFERROR($G5,0)+SUM(I5:M5),"")</f>
        <v/>
      </c>
      <c r="O5" s="50" t="str">
        <f t="shared" ref="O5:AD20" si="2">_xlfn.LET(_xlpm.m,IF(ISNUMBER(O$4),DATE(YEAR(O$4),MONTH(O$4),1),DATEVALUE("1-"&amp;O$4)),IF(OR(COUNTA($A5:$F5)&gt;0,$G5&lt;&gt;""),$N5/12*IF($F5="",1,MAX(0,(EOMONTH(_xlpm.m,0)-MAX($F5,_xlpm.m)+1)/(EOMONTH(_xlpm.m,0)-_xlpm.m+1))),""))</f>
        <v/>
      </c>
      <c r="P5" s="50" t="str">
        <f t="shared" si="2"/>
        <v/>
      </c>
      <c r="Q5" s="50" t="str">
        <f t="shared" si="2"/>
        <v/>
      </c>
      <c r="R5" s="50" t="str">
        <f t="shared" si="2"/>
        <v/>
      </c>
      <c r="S5" s="50" t="str">
        <f t="shared" si="2"/>
        <v/>
      </c>
      <c r="T5" s="50" t="str">
        <f t="shared" si="2"/>
        <v/>
      </c>
      <c r="U5" s="50" t="str">
        <f t="shared" si="2"/>
        <v/>
      </c>
      <c r="V5" s="50" t="str">
        <f t="shared" si="2"/>
        <v/>
      </c>
      <c r="W5" s="50" t="str">
        <f t="shared" si="2"/>
        <v/>
      </c>
      <c r="X5" s="50" t="str">
        <f t="shared" si="2"/>
        <v/>
      </c>
      <c r="Y5" s="50" t="str">
        <f t="shared" si="2"/>
        <v/>
      </c>
      <c r="Z5" s="50" t="str">
        <f t="shared" si="2"/>
        <v/>
      </c>
      <c r="AA5" s="50" t="str">
        <f t="shared" ref="AA5" si="3">IF(OR(COUNTA($A5:$F5)&gt;0,$G5&lt;&gt;""),SUM(O5:Z5),"")</f>
        <v/>
      </c>
      <c r="AB5" s="50" t="str">
        <f t="shared" si="2"/>
        <v/>
      </c>
      <c r="AC5" s="50" t="str">
        <f t="shared" si="2"/>
        <v/>
      </c>
      <c r="AD5" s="50" t="str">
        <f t="shared" si="2"/>
        <v/>
      </c>
      <c r="AE5" s="50" t="str">
        <f t="shared" ref="AC5:AR20" si="4">_xlfn.LET(_xlpm.m,IF(ISNUMBER(AE$4),DATE(YEAR(AE$4),MONTH(AE$4),1),DATEVALUE("1-"&amp;AE$4)),IF(OR(COUNTA($A5:$F5)&gt;0,$G5&lt;&gt;""),$N5/12*IF($F5="",1,MAX(0,(EOMONTH(_xlpm.m,0)-MAX($F5,_xlpm.m)+1)/(EOMONTH(_xlpm.m,0)-_xlpm.m+1))),""))</f>
        <v/>
      </c>
      <c r="AF5" s="50" t="str">
        <f t="shared" si="4"/>
        <v/>
      </c>
      <c r="AG5" s="50" t="str">
        <f t="shared" si="4"/>
        <v/>
      </c>
      <c r="AH5" s="50" t="str">
        <f t="shared" si="4"/>
        <v/>
      </c>
      <c r="AI5" s="50" t="str">
        <f t="shared" si="4"/>
        <v/>
      </c>
      <c r="AJ5" s="50" t="str">
        <f t="shared" si="4"/>
        <v/>
      </c>
      <c r="AK5" s="50" t="str">
        <f t="shared" si="4"/>
        <v/>
      </c>
      <c r="AL5" s="50" t="str">
        <f t="shared" si="4"/>
        <v/>
      </c>
      <c r="AM5" s="50" t="str">
        <f t="shared" si="4"/>
        <v/>
      </c>
      <c r="AN5" s="50" t="str">
        <f t="shared" ref="AN5" si="5">IF(OR(COUNTA($A5:$F5)&gt;0,$G5&lt;&gt;""),SUM(AB5:AM5),"")</f>
        <v/>
      </c>
      <c r="AO5" s="50" t="str">
        <f t="shared" si="4"/>
        <v/>
      </c>
      <c r="AP5" s="50" t="str">
        <f t="shared" si="4"/>
        <v/>
      </c>
      <c r="AQ5" s="50" t="str">
        <f t="shared" si="4"/>
        <v/>
      </c>
      <c r="AR5" s="50" t="str">
        <f t="shared" si="4"/>
        <v/>
      </c>
      <c r="AS5" s="50" t="str">
        <f t="shared" ref="AP5:AZ20" si="6">_xlfn.LET(_xlpm.m,IF(ISNUMBER(AS$4),DATE(YEAR(AS$4),MONTH(AS$4),1),DATEVALUE("1-"&amp;AS$4)),IF(OR(COUNTA($A5:$F5)&gt;0,$G5&lt;&gt;""),$N5/12*IF($F5="",1,MAX(0,(EOMONTH(_xlpm.m,0)-MAX($F5,_xlpm.m)+1)/(EOMONTH(_xlpm.m,0)-_xlpm.m+1))),""))</f>
        <v/>
      </c>
      <c r="AT5" s="50" t="str">
        <f t="shared" si="6"/>
        <v/>
      </c>
      <c r="AU5" s="50" t="str">
        <f t="shared" si="6"/>
        <v/>
      </c>
      <c r="AV5" s="50" t="str">
        <f t="shared" si="6"/>
        <v/>
      </c>
      <c r="AW5" s="50" t="str">
        <f t="shared" si="6"/>
        <v/>
      </c>
      <c r="AX5" s="50" t="str">
        <f t="shared" si="6"/>
        <v/>
      </c>
      <c r="AY5" s="50" t="str">
        <f t="shared" si="6"/>
        <v/>
      </c>
      <c r="AZ5" s="50" t="str">
        <f t="shared" si="6"/>
        <v/>
      </c>
      <c r="BA5" s="50" t="str">
        <f t="shared" ref="BA5" si="7">IF(OR(COUNTA($A5:$F5)&gt;0,$G5&lt;&gt;""),SUM(AO5:AZ5),"")</f>
        <v/>
      </c>
      <c r="BB5" s="71"/>
      <c r="BC5" s="31"/>
    </row>
    <row r="6" spans="1:55" x14ac:dyDescent="0.35">
      <c r="A6" s="69"/>
      <c r="B6" s="69"/>
      <c r="C6" s="69"/>
      <c r="D6" s="70"/>
      <c r="E6" s="71"/>
      <c r="F6" s="70"/>
      <c r="G6" s="71"/>
      <c r="H6" s="72"/>
      <c r="I6" s="50" t="str">
        <f t="shared" si="0"/>
        <v/>
      </c>
      <c r="J6" s="50" t="str">
        <f>IF(COUNTA($A6:$H6)&gt;0,IFERROR($G6*Summary!$C$46/Summary!$C$43,0),"")</f>
        <v/>
      </c>
      <c r="K6" s="50" t="str">
        <f>IF(COUNTA($A6:$H6)&gt;0,IFERROR($G6*Summary!$C$47/Summary!$C$43,0),"")</f>
        <v/>
      </c>
      <c r="L6" s="50" t="str">
        <f>IF(COUNTA($A6:$H6)&gt;0,IFERROR($G6*Summary!$C$48/Summary!$C$43,0),"")</f>
        <v/>
      </c>
      <c r="M6" s="50" t="str">
        <f>IF(COUNTA($A6:$H6)&gt;0,IFERROR($G6*Summary!$C$49/Summary!$C$43,0),"")</f>
        <v/>
      </c>
      <c r="N6" s="50" t="str">
        <f t="shared" si="1"/>
        <v/>
      </c>
      <c r="O6" s="50" t="str">
        <f t="shared" si="2"/>
        <v/>
      </c>
      <c r="P6" s="50" t="str">
        <f t="shared" si="2"/>
        <v/>
      </c>
      <c r="Q6" s="50" t="str">
        <f t="shared" si="2"/>
        <v/>
      </c>
      <c r="R6" s="50" t="str">
        <f t="shared" si="2"/>
        <v/>
      </c>
      <c r="S6" s="50" t="str">
        <f t="shared" si="2"/>
        <v/>
      </c>
      <c r="T6" s="50" t="str">
        <f t="shared" si="2"/>
        <v/>
      </c>
      <c r="U6" s="50" t="str">
        <f t="shared" si="2"/>
        <v/>
      </c>
      <c r="V6" s="50" t="str">
        <f t="shared" si="2"/>
        <v/>
      </c>
      <c r="W6" s="50" t="str">
        <f t="shared" si="2"/>
        <v/>
      </c>
      <c r="X6" s="50" t="str">
        <f t="shared" si="2"/>
        <v/>
      </c>
      <c r="Y6" s="50" t="str">
        <f t="shared" si="2"/>
        <v/>
      </c>
      <c r="Z6" s="50" t="str">
        <f t="shared" si="2"/>
        <v/>
      </c>
      <c r="AA6" s="50" t="str">
        <f t="shared" ref="AA6:AA20" si="8">IF(COUNTA($A6:$H6)&gt;0,SUM(O6:Z6),"")</f>
        <v/>
      </c>
      <c r="AB6" s="50" t="str">
        <f t="shared" si="2"/>
        <v/>
      </c>
      <c r="AC6" s="50" t="str">
        <f t="shared" si="4"/>
        <v/>
      </c>
      <c r="AD6" s="50" t="str">
        <f t="shared" si="4"/>
        <v/>
      </c>
      <c r="AE6" s="50" t="str">
        <f t="shared" si="4"/>
        <v/>
      </c>
      <c r="AF6" s="50" t="str">
        <f t="shared" si="4"/>
        <v/>
      </c>
      <c r="AG6" s="50" t="str">
        <f t="shared" si="4"/>
        <v/>
      </c>
      <c r="AH6" s="50" t="str">
        <f t="shared" si="4"/>
        <v/>
      </c>
      <c r="AI6" s="50" t="str">
        <f t="shared" si="4"/>
        <v/>
      </c>
      <c r="AJ6" s="50" t="str">
        <f t="shared" si="4"/>
        <v/>
      </c>
      <c r="AK6" s="50" t="str">
        <f t="shared" si="4"/>
        <v/>
      </c>
      <c r="AL6" s="50" t="str">
        <f t="shared" si="4"/>
        <v/>
      </c>
      <c r="AM6" s="50" t="str">
        <f t="shared" si="4"/>
        <v/>
      </c>
      <c r="AN6" s="50" t="str">
        <f t="shared" ref="AN6:AN20" si="9">IF(COUNTA($A6:$H6)&gt;0,SUM(AB6:AM6),"")</f>
        <v/>
      </c>
      <c r="AO6" s="50" t="str">
        <f t="shared" si="4"/>
        <v/>
      </c>
      <c r="AP6" s="50" t="str">
        <f t="shared" si="6"/>
        <v/>
      </c>
      <c r="AQ6" s="50" t="str">
        <f t="shared" si="6"/>
        <v/>
      </c>
      <c r="AR6" s="50" t="str">
        <f t="shared" si="6"/>
        <v/>
      </c>
      <c r="AS6" s="50" t="str">
        <f t="shared" si="6"/>
        <v/>
      </c>
      <c r="AT6" s="50" t="str">
        <f t="shared" si="6"/>
        <v/>
      </c>
      <c r="AU6" s="50" t="str">
        <f t="shared" si="6"/>
        <v/>
      </c>
      <c r="AV6" s="50" t="str">
        <f t="shared" si="6"/>
        <v/>
      </c>
      <c r="AW6" s="50" t="str">
        <f t="shared" si="6"/>
        <v/>
      </c>
      <c r="AX6" s="50" t="str">
        <f t="shared" si="6"/>
        <v/>
      </c>
      <c r="AY6" s="50" t="str">
        <f t="shared" si="6"/>
        <v/>
      </c>
      <c r="AZ6" s="50" t="str">
        <f t="shared" si="6"/>
        <v/>
      </c>
      <c r="BA6" s="50" t="str">
        <f t="shared" ref="BA6:BA20" si="10">IF(COUNTA($A6:$H6)&gt;0,SUM(AO6:AZ6),"")</f>
        <v/>
      </c>
      <c r="BB6" s="71"/>
      <c r="BC6" s="31"/>
    </row>
    <row r="7" spans="1:55" x14ac:dyDescent="0.35">
      <c r="A7" s="69"/>
      <c r="B7" s="69"/>
      <c r="C7" s="69"/>
      <c r="D7" s="70"/>
      <c r="E7" s="71"/>
      <c r="F7" s="70"/>
      <c r="G7" s="71"/>
      <c r="H7" s="72"/>
      <c r="I7" s="50" t="str">
        <f t="shared" si="0"/>
        <v/>
      </c>
      <c r="J7" s="50" t="str">
        <f>IF(COUNTA($A7:$H7)&gt;0,IFERROR($G7*Summary!$C$46/Summary!$C$43,0),"")</f>
        <v/>
      </c>
      <c r="K7" s="50" t="str">
        <f>IF(COUNTA($A7:$H7)&gt;0,IFERROR($G7*Summary!$C$47/Summary!$C$43,0),"")</f>
        <v/>
      </c>
      <c r="L7" s="50" t="str">
        <f>IF(COUNTA($A7:$H7)&gt;0,IFERROR($G7*Summary!$C$48/Summary!$C$43,0),"")</f>
        <v/>
      </c>
      <c r="M7" s="50" t="str">
        <f>IF(COUNTA($A7:$H7)&gt;0,IFERROR($G7*Summary!$C$49/Summary!$C$43,0),"")</f>
        <v/>
      </c>
      <c r="N7" s="50" t="str">
        <f t="shared" si="1"/>
        <v/>
      </c>
      <c r="O7" s="50" t="str">
        <f t="shared" si="2"/>
        <v/>
      </c>
      <c r="P7" s="50" t="str">
        <f t="shared" si="2"/>
        <v/>
      </c>
      <c r="Q7" s="50" t="str">
        <f t="shared" si="2"/>
        <v/>
      </c>
      <c r="R7" s="50" t="str">
        <f t="shared" si="2"/>
        <v/>
      </c>
      <c r="S7" s="50" t="str">
        <f t="shared" si="2"/>
        <v/>
      </c>
      <c r="T7" s="50" t="str">
        <f t="shared" si="2"/>
        <v/>
      </c>
      <c r="U7" s="50" t="str">
        <f t="shared" si="2"/>
        <v/>
      </c>
      <c r="V7" s="50" t="str">
        <f t="shared" si="2"/>
        <v/>
      </c>
      <c r="W7" s="50" t="str">
        <f t="shared" si="2"/>
        <v/>
      </c>
      <c r="X7" s="50" t="str">
        <f t="shared" si="2"/>
        <v/>
      </c>
      <c r="Y7" s="50" t="str">
        <f t="shared" si="2"/>
        <v/>
      </c>
      <c r="Z7" s="50" t="str">
        <f t="shared" si="2"/>
        <v/>
      </c>
      <c r="AA7" s="50" t="str">
        <f t="shared" si="8"/>
        <v/>
      </c>
      <c r="AB7" s="50" t="str">
        <f t="shared" si="2"/>
        <v/>
      </c>
      <c r="AC7" s="50" t="str">
        <f t="shared" si="4"/>
        <v/>
      </c>
      <c r="AD7" s="50" t="str">
        <f t="shared" si="4"/>
        <v/>
      </c>
      <c r="AE7" s="50" t="str">
        <f t="shared" si="4"/>
        <v/>
      </c>
      <c r="AF7" s="50" t="str">
        <f t="shared" si="4"/>
        <v/>
      </c>
      <c r="AG7" s="50" t="str">
        <f t="shared" si="4"/>
        <v/>
      </c>
      <c r="AH7" s="50" t="str">
        <f t="shared" si="4"/>
        <v/>
      </c>
      <c r="AI7" s="50" t="str">
        <f t="shared" si="4"/>
        <v/>
      </c>
      <c r="AJ7" s="50" t="str">
        <f t="shared" si="4"/>
        <v/>
      </c>
      <c r="AK7" s="50" t="str">
        <f t="shared" si="4"/>
        <v/>
      </c>
      <c r="AL7" s="50" t="str">
        <f t="shared" si="4"/>
        <v/>
      </c>
      <c r="AM7" s="50" t="str">
        <f t="shared" si="4"/>
        <v/>
      </c>
      <c r="AN7" s="50" t="str">
        <f t="shared" si="9"/>
        <v/>
      </c>
      <c r="AO7" s="50" t="str">
        <f t="shared" si="4"/>
        <v/>
      </c>
      <c r="AP7" s="50" t="str">
        <f t="shared" si="6"/>
        <v/>
      </c>
      <c r="AQ7" s="50" t="str">
        <f t="shared" si="6"/>
        <v/>
      </c>
      <c r="AR7" s="50" t="str">
        <f t="shared" si="6"/>
        <v/>
      </c>
      <c r="AS7" s="50" t="str">
        <f t="shared" si="6"/>
        <v/>
      </c>
      <c r="AT7" s="50" t="str">
        <f t="shared" si="6"/>
        <v/>
      </c>
      <c r="AU7" s="50" t="str">
        <f t="shared" si="6"/>
        <v/>
      </c>
      <c r="AV7" s="50" t="str">
        <f t="shared" si="6"/>
        <v/>
      </c>
      <c r="AW7" s="50" t="str">
        <f t="shared" si="6"/>
        <v/>
      </c>
      <c r="AX7" s="50" t="str">
        <f t="shared" si="6"/>
        <v/>
      </c>
      <c r="AY7" s="50" t="str">
        <f t="shared" si="6"/>
        <v/>
      </c>
      <c r="AZ7" s="50" t="str">
        <f t="shared" si="6"/>
        <v/>
      </c>
      <c r="BA7" s="50" t="str">
        <f t="shared" si="10"/>
        <v/>
      </c>
      <c r="BB7" s="71"/>
      <c r="BC7" s="31"/>
    </row>
    <row r="8" spans="1:55" x14ac:dyDescent="0.35">
      <c r="A8" s="69"/>
      <c r="B8" s="69"/>
      <c r="C8" s="69"/>
      <c r="D8" s="70"/>
      <c r="E8" s="71"/>
      <c r="F8" s="70"/>
      <c r="G8" s="71"/>
      <c r="H8" s="72"/>
      <c r="I8" s="50" t="str">
        <f t="shared" si="0"/>
        <v/>
      </c>
      <c r="J8" s="50" t="str">
        <f>IF(COUNTA($A8:$H8)&gt;0,IFERROR($G8*Summary!$C$46/Summary!$C$43,0),"")</f>
        <v/>
      </c>
      <c r="K8" s="50" t="str">
        <f>IF(COUNTA($A8:$H8)&gt;0,IFERROR($G8*Summary!$C$47/Summary!$C$43,0),"")</f>
        <v/>
      </c>
      <c r="L8" s="50" t="str">
        <f>IF(COUNTA($A8:$H8)&gt;0,IFERROR($G8*Summary!$C$48/Summary!$C$43,0),"")</f>
        <v/>
      </c>
      <c r="M8" s="50" t="str">
        <f>IF(COUNTA($A8:$H8)&gt;0,IFERROR($G8*Summary!$C$49/Summary!$C$43,0),"")</f>
        <v/>
      </c>
      <c r="N8" s="50" t="str">
        <f t="shared" si="1"/>
        <v/>
      </c>
      <c r="O8" s="50" t="str">
        <f t="shared" si="2"/>
        <v/>
      </c>
      <c r="P8" s="50" t="str">
        <f t="shared" si="2"/>
        <v/>
      </c>
      <c r="Q8" s="50" t="str">
        <f t="shared" si="2"/>
        <v/>
      </c>
      <c r="R8" s="50" t="str">
        <f t="shared" si="2"/>
        <v/>
      </c>
      <c r="S8" s="50" t="str">
        <f t="shared" si="2"/>
        <v/>
      </c>
      <c r="T8" s="50" t="str">
        <f t="shared" si="2"/>
        <v/>
      </c>
      <c r="U8" s="50" t="str">
        <f t="shared" si="2"/>
        <v/>
      </c>
      <c r="V8" s="50" t="str">
        <f t="shared" si="2"/>
        <v/>
      </c>
      <c r="W8" s="50" t="str">
        <f t="shared" si="2"/>
        <v/>
      </c>
      <c r="X8" s="50" t="str">
        <f t="shared" si="2"/>
        <v/>
      </c>
      <c r="Y8" s="50" t="str">
        <f t="shared" si="2"/>
        <v/>
      </c>
      <c r="Z8" s="50" t="str">
        <f t="shared" si="2"/>
        <v/>
      </c>
      <c r="AA8" s="50" t="str">
        <f t="shared" si="8"/>
        <v/>
      </c>
      <c r="AB8" s="50" t="str">
        <f t="shared" si="2"/>
        <v/>
      </c>
      <c r="AC8" s="50" t="str">
        <f t="shared" si="4"/>
        <v/>
      </c>
      <c r="AD8" s="50" t="str">
        <f t="shared" si="4"/>
        <v/>
      </c>
      <c r="AE8" s="50" t="str">
        <f t="shared" si="4"/>
        <v/>
      </c>
      <c r="AF8" s="50" t="str">
        <f t="shared" si="4"/>
        <v/>
      </c>
      <c r="AG8" s="50" t="str">
        <f t="shared" si="4"/>
        <v/>
      </c>
      <c r="AH8" s="50" t="str">
        <f t="shared" si="4"/>
        <v/>
      </c>
      <c r="AI8" s="50" t="str">
        <f t="shared" si="4"/>
        <v/>
      </c>
      <c r="AJ8" s="50" t="str">
        <f t="shared" si="4"/>
        <v/>
      </c>
      <c r="AK8" s="50" t="str">
        <f t="shared" si="4"/>
        <v/>
      </c>
      <c r="AL8" s="50" t="str">
        <f t="shared" si="4"/>
        <v/>
      </c>
      <c r="AM8" s="50" t="str">
        <f t="shared" si="4"/>
        <v/>
      </c>
      <c r="AN8" s="50" t="str">
        <f t="shared" si="9"/>
        <v/>
      </c>
      <c r="AO8" s="50" t="str">
        <f t="shared" si="4"/>
        <v/>
      </c>
      <c r="AP8" s="50" t="str">
        <f t="shared" si="6"/>
        <v/>
      </c>
      <c r="AQ8" s="50" t="str">
        <f t="shared" si="6"/>
        <v/>
      </c>
      <c r="AR8" s="50" t="str">
        <f t="shared" si="6"/>
        <v/>
      </c>
      <c r="AS8" s="50" t="str">
        <f t="shared" si="6"/>
        <v/>
      </c>
      <c r="AT8" s="50" t="str">
        <f t="shared" si="6"/>
        <v/>
      </c>
      <c r="AU8" s="50" t="str">
        <f t="shared" si="6"/>
        <v/>
      </c>
      <c r="AV8" s="50" t="str">
        <f t="shared" si="6"/>
        <v/>
      </c>
      <c r="AW8" s="50" t="str">
        <f t="shared" si="6"/>
        <v/>
      </c>
      <c r="AX8" s="50" t="str">
        <f t="shared" si="6"/>
        <v/>
      </c>
      <c r="AY8" s="50" t="str">
        <f t="shared" si="6"/>
        <v/>
      </c>
      <c r="AZ8" s="50" t="str">
        <f t="shared" si="6"/>
        <v/>
      </c>
      <c r="BA8" s="50" t="str">
        <f t="shared" si="10"/>
        <v/>
      </c>
      <c r="BB8" s="71"/>
      <c r="BC8" s="31"/>
    </row>
    <row r="9" spans="1:55" x14ac:dyDescent="0.35">
      <c r="A9" s="69"/>
      <c r="B9" s="69"/>
      <c r="C9" s="69"/>
      <c r="D9" s="70"/>
      <c r="E9" s="71"/>
      <c r="F9" s="70"/>
      <c r="G9" s="71"/>
      <c r="H9" s="72"/>
      <c r="I9" s="50" t="str">
        <f t="shared" si="0"/>
        <v/>
      </c>
      <c r="J9" s="50" t="str">
        <f>IF(COUNTA($A9:$H9)&gt;0,IFERROR($G9*Summary!$C$46/Summary!$C$43,0),"")</f>
        <v/>
      </c>
      <c r="K9" s="50" t="str">
        <f>IF(COUNTA($A9:$H9)&gt;0,IFERROR($G9*Summary!$C$47/Summary!$C$43,0),"")</f>
        <v/>
      </c>
      <c r="L9" s="50" t="str">
        <f>IF(COUNTA($A9:$H9)&gt;0,IFERROR($G9*Summary!$C$48/Summary!$C$43,0),"")</f>
        <v/>
      </c>
      <c r="M9" s="50" t="str">
        <f>IF(COUNTA($A9:$H9)&gt;0,IFERROR($G9*Summary!$C$49/Summary!$C$43,0),"")</f>
        <v/>
      </c>
      <c r="N9" s="50" t="str">
        <f t="shared" si="1"/>
        <v/>
      </c>
      <c r="O9" s="50" t="str">
        <f t="shared" si="2"/>
        <v/>
      </c>
      <c r="P9" s="50" t="str">
        <f t="shared" si="2"/>
        <v/>
      </c>
      <c r="Q9" s="50" t="str">
        <f t="shared" si="2"/>
        <v/>
      </c>
      <c r="R9" s="50" t="str">
        <f t="shared" si="2"/>
        <v/>
      </c>
      <c r="S9" s="50" t="str">
        <f t="shared" si="2"/>
        <v/>
      </c>
      <c r="T9" s="50" t="str">
        <f t="shared" si="2"/>
        <v/>
      </c>
      <c r="U9" s="50" t="str">
        <f t="shared" si="2"/>
        <v/>
      </c>
      <c r="V9" s="50" t="str">
        <f t="shared" si="2"/>
        <v/>
      </c>
      <c r="W9" s="50" t="str">
        <f t="shared" si="2"/>
        <v/>
      </c>
      <c r="X9" s="50" t="str">
        <f t="shared" si="2"/>
        <v/>
      </c>
      <c r="Y9" s="50" t="str">
        <f t="shared" si="2"/>
        <v/>
      </c>
      <c r="Z9" s="50" t="str">
        <f t="shared" si="2"/>
        <v/>
      </c>
      <c r="AA9" s="50" t="str">
        <f t="shared" si="8"/>
        <v/>
      </c>
      <c r="AB9" s="50" t="str">
        <f t="shared" si="2"/>
        <v/>
      </c>
      <c r="AC9" s="50" t="str">
        <f t="shared" si="4"/>
        <v/>
      </c>
      <c r="AD9" s="50" t="str">
        <f t="shared" si="4"/>
        <v/>
      </c>
      <c r="AE9" s="50" t="str">
        <f t="shared" si="4"/>
        <v/>
      </c>
      <c r="AF9" s="50" t="str">
        <f t="shared" si="4"/>
        <v/>
      </c>
      <c r="AG9" s="50" t="str">
        <f t="shared" si="4"/>
        <v/>
      </c>
      <c r="AH9" s="50" t="str">
        <f t="shared" si="4"/>
        <v/>
      </c>
      <c r="AI9" s="50" t="str">
        <f t="shared" si="4"/>
        <v/>
      </c>
      <c r="AJ9" s="50" t="str">
        <f t="shared" si="4"/>
        <v/>
      </c>
      <c r="AK9" s="50" t="str">
        <f t="shared" si="4"/>
        <v/>
      </c>
      <c r="AL9" s="50" t="str">
        <f t="shared" si="4"/>
        <v/>
      </c>
      <c r="AM9" s="50" t="str">
        <f t="shared" si="4"/>
        <v/>
      </c>
      <c r="AN9" s="50" t="str">
        <f t="shared" si="9"/>
        <v/>
      </c>
      <c r="AO9" s="50" t="str">
        <f t="shared" si="4"/>
        <v/>
      </c>
      <c r="AP9" s="50" t="str">
        <f t="shared" si="6"/>
        <v/>
      </c>
      <c r="AQ9" s="50" t="str">
        <f t="shared" si="6"/>
        <v/>
      </c>
      <c r="AR9" s="50" t="str">
        <f t="shared" si="6"/>
        <v/>
      </c>
      <c r="AS9" s="50" t="str">
        <f t="shared" si="6"/>
        <v/>
      </c>
      <c r="AT9" s="50" t="str">
        <f t="shared" si="6"/>
        <v/>
      </c>
      <c r="AU9" s="50" t="str">
        <f t="shared" si="6"/>
        <v/>
      </c>
      <c r="AV9" s="50" t="str">
        <f t="shared" si="6"/>
        <v/>
      </c>
      <c r="AW9" s="50" t="str">
        <f t="shared" si="6"/>
        <v/>
      </c>
      <c r="AX9" s="50" t="str">
        <f t="shared" si="6"/>
        <v/>
      </c>
      <c r="AY9" s="50" t="str">
        <f t="shared" si="6"/>
        <v/>
      </c>
      <c r="AZ9" s="50" t="str">
        <f t="shared" si="6"/>
        <v/>
      </c>
      <c r="BA9" s="50" t="str">
        <f t="shared" si="10"/>
        <v/>
      </c>
      <c r="BB9" s="71"/>
      <c r="BC9" s="31"/>
    </row>
    <row r="10" spans="1:55" x14ac:dyDescent="0.35">
      <c r="A10" s="69"/>
      <c r="B10" s="69"/>
      <c r="C10" s="69"/>
      <c r="D10" s="70"/>
      <c r="E10" s="71"/>
      <c r="F10" s="70"/>
      <c r="G10" s="71"/>
      <c r="H10" s="72"/>
      <c r="I10" s="50" t="str">
        <f t="shared" si="0"/>
        <v/>
      </c>
      <c r="J10" s="50" t="str">
        <f>IF(COUNTA($A10:$H10)&gt;0,IFERROR($G10*Summary!$C$46/Summary!$C$43,0),"")</f>
        <v/>
      </c>
      <c r="K10" s="50" t="str">
        <f>IF(COUNTA($A10:$H10)&gt;0,IFERROR($G10*Summary!$C$47/Summary!$C$43,0),"")</f>
        <v/>
      </c>
      <c r="L10" s="50" t="str">
        <f>IF(COUNTA($A10:$H10)&gt;0,IFERROR($G10*Summary!$C$48/Summary!$C$43,0),"")</f>
        <v/>
      </c>
      <c r="M10" s="50" t="str">
        <f>IF(COUNTA($A10:$H10)&gt;0,IFERROR($G10*Summary!$C$49/Summary!$C$43,0),"")</f>
        <v/>
      </c>
      <c r="N10" s="50" t="str">
        <f t="shared" si="1"/>
        <v/>
      </c>
      <c r="O10" s="50" t="str">
        <f t="shared" si="2"/>
        <v/>
      </c>
      <c r="P10" s="50" t="str">
        <f t="shared" si="2"/>
        <v/>
      </c>
      <c r="Q10" s="50" t="str">
        <f t="shared" si="2"/>
        <v/>
      </c>
      <c r="R10" s="50" t="str">
        <f t="shared" si="2"/>
        <v/>
      </c>
      <c r="S10" s="50" t="str">
        <f t="shared" si="2"/>
        <v/>
      </c>
      <c r="T10" s="50" t="str">
        <f t="shared" si="2"/>
        <v/>
      </c>
      <c r="U10" s="50" t="str">
        <f t="shared" si="2"/>
        <v/>
      </c>
      <c r="V10" s="50" t="str">
        <f t="shared" si="2"/>
        <v/>
      </c>
      <c r="W10" s="50" t="str">
        <f t="shared" si="2"/>
        <v/>
      </c>
      <c r="X10" s="50" t="str">
        <f t="shared" si="2"/>
        <v/>
      </c>
      <c r="Y10" s="50" t="str">
        <f t="shared" si="2"/>
        <v/>
      </c>
      <c r="Z10" s="50" t="str">
        <f t="shared" si="2"/>
        <v/>
      </c>
      <c r="AA10" s="50" t="str">
        <f t="shared" si="8"/>
        <v/>
      </c>
      <c r="AB10" s="50" t="str">
        <f t="shared" si="2"/>
        <v/>
      </c>
      <c r="AC10" s="50" t="str">
        <f t="shared" si="4"/>
        <v/>
      </c>
      <c r="AD10" s="50" t="str">
        <f t="shared" si="4"/>
        <v/>
      </c>
      <c r="AE10" s="50" t="str">
        <f t="shared" si="4"/>
        <v/>
      </c>
      <c r="AF10" s="50" t="str">
        <f t="shared" si="4"/>
        <v/>
      </c>
      <c r="AG10" s="50" t="str">
        <f t="shared" si="4"/>
        <v/>
      </c>
      <c r="AH10" s="50" t="str">
        <f t="shared" si="4"/>
        <v/>
      </c>
      <c r="AI10" s="50" t="str">
        <f t="shared" si="4"/>
        <v/>
      </c>
      <c r="AJ10" s="50" t="str">
        <f t="shared" si="4"/>
        <v/>
      </c>
      <c r="AK10" s="50" t="str">
        <f t="shared" si="4"/>
        <v/>
      </c>
      <c r="AL10" s="50" t="str">
        <f t="shared" si="4"/>
        <v/>
      </c>
      <c r="AM10" s="50" t="str">
        <f t="shared" si="4"/>
        <v/>
      </c>
      <c r="AN10" s="50" t="str">
        <f t="shared" si="9"/>
        <v/>
      </c>
      <c r="AO10" s="50" t="str">
        <f t="shared" si="4"/>
        <v/>
      </c>
      <c r="AP10" s="50" t="str">
        <f t="shared" si="6"/>
        <v/>
      </c>
      <c r="AQ10" s="50" t="str">
        <f t="shared" si="6"/>
        <v/>
      </c>
      <c r="AR10" s="50" t="str">
        <f t="shared" si="6"/>
        <v/>
      </c>
      <c r="AS10" s="50" t="str">
        <f t="shared" si="6"/>
        <v/>
      </c>
      <c r="AT10" s="50" t="str">
        <f t="shared" si="6"/>
        <v/>
      </c>
      <c r="AU10" s="50" t="str">
        <f t="shared" si="6"/>
        <v/>
      </c>
      <c r="AV10" s="50" t="str">
        <f t="shared" si="6"/>
        <v/>
      </c>
      <c r="AW10" s="50" t="str">
        <f t="shared" si="6"/>
        <v/>
      </c>
      <c r="AX10" s="50" t="str">
        <f t="shared" si="6"/>
        <v/>
      </c>
      <c r="AY10" s="50" t="str">
        <f t="shared" si="6"/>
        <v/>
      </c>
      <c r="AZ10" s="50" t="str">
        <f t="shared" si="6"/>
        <v/>
      </c>
      <c r="BA10" s="50" t="str">
        <f t="shared" si="10"/>
        <v/>
      </c>
      <c r="BB10" s="71"/>
      <c r="BC10" s="31"/>
    </row>
    <row r="11" spans="1:55" x14ac:dyDescent="0.35">
      <c r="A11" s="69"/>
      <c r="B11" s="69"/>
      <c r="C11" s="69"/>
      <c r="D11" s="70"/>
      <c r="E11" s="71"/>
      <c r="F11" s="70"/>
      <c r="G11" s="71"/>
      <c r="H11" s="72"/>
      <c r="I11" s="50" t="str">
        <f t="shared" si="0"/>
        <v/>
      </c>
      <c r="J11" s="50" t="str">
        <f>IF(COUNTA($A11:$H11)&gt;0,IFERROR($G11*Summary!$C$46/Summary!$C$43,0),"")</f>
        <v/>
      </c>
      <c r="K11" s="50" t="str">
        <f>IF(COUNTA($A11:$H11)&gt;0,IFERROR($G11*Summary!$C$47/Summary!$C$43,0),"")</f>
        <v/>
      </c>
      <c r="L11" s="50" t="str">
        <f>IF(COUNTA($A11:$H11)&gt;0,IFERROR($G11*Summary!$C$48/Summary!$C$43,0),"")</f>
        <v/>
      </c>
      <c r="M11" s="50" t="str">
        <f>IF(COUNTA($A11:$H11)&gt;0,IFERROR($G11*Summary!$C$49/Summary!$C$43,0),"")</f>
        <v/>
      </c>
      <c r="N11" s="50" t="str">
        <f t="shared" si="1"/>
        <v/>
      </c>
      <c r="O11" s="50" t="str">
        <f t="shared" si="2"/>
        <v/>
      </c>
      <c r="P11" s="50" t="str">
        <f t="shared" si="2"/>
        <v/>
      </c>
      <c r="Q11" s="50" t="str">
        <f t="shared" si="2"/>
        <v/>
      </c>
      <c r="R11" s="50" t="str">
        <f t="shared" si="2"/>
        <v/>
      </c>
      <c r="S11" s="50" t="str">
        <f t="shared" si="2"/>
        <v/>
      </c>
      <c r="T11" s="50" t="str">
        <f t="shared" si="2"/>
        <v/>
      </c>
      <c r="U11" s="50" t="str">
        <f t="shared" si="2"/>
        <v/>
      </c>
      <c r="V11" s="50" t="str">
        <f t="shared" si="2"/>
        <v/>
      </c>
      <c r="W11" s="50" t="str">
        <f t="shared" si="2"/>
        <v/>
      </c>
      <c r="X11" s="50" t="str">
        <f t="shared" si="2"/>
        <v/>
      </c>
      <c r="Y11" s="50" t="str">
        <f t="shared" si="2"/>
        <v/>
      </c>
      <c r="Z11" s="50" t="str">
        <f t="shared" si="2"/>
        <v/>
      </c>
      <c r="AA11" s="50" t="str">
        <f t="shared" si="8"/>
        <v/>
      </c>
      <c r="AB11" s="50" t="str">
        <f t="shared" si="2"/>
        <v/>
      </c>
      <c r="AC11" s="50" t="str">
        <f t="shared" si="4"/>
        <v/>
      </c>
      <c r="AD11" s="50" t="str">
        <f t="shared" si="4"/>
        <v/>
      </c>
      <c r="AE11" s="50" t="str">
        <f t="shared" si="4"/>
        <v/>
      </c>
      <c r="AF11" s="50" t="str">
        <f t="shared" si="4"/>
        <v/>
      </c>
      <c r="AG11" s="50" t="str">
        <f t="shared" si="4"/>
        <v/>
      </c>
      <c r="AH11" s="50" t="str">
        <f t="shared" si="4"/>
        <v/>
      </c>
      <c r="AI11" s="50" t="str">
        <f t="shared" si="4"/>
        <v/>
      </c>
      <c r="AJ11" s="50" t="str">
        <f t="shared" si="4"/>
        <v/>
      </c>
      <c r="AK11" s="50" t="str">
        <f t="shared" si="4"/>
        <v/>
      </c>
      <c r="AL11" s="50" t="str">
        <f t="shared" si="4"/>
        <v/>
      </c>
      <c r="AM11" s="50" t="str">
        <f t="shared" si="4"/>
        <v/>
      </c>
      <c r="AN11" s="50" t="str">
        <f t="shared" si="9"/>
        <v/>
      </c>
      <c r="AO11" s="50" t="str">
        <f t="shared" si="4"/>
        <v/>
      </c>
      <c r="AP11" s="50" t="str">
        <f t="shared" si="6"/>
        <v/>
      </c>
      <c r="AQ11" s="50" t="str">
        <f t="shared" si="6"/>
        <v/>
      </c>
      <c r="AR11" s="50" t="str">
        <f t="shared" si="6"/>
        <v/>
      </c>
      <c r="AS11" s="50" t="str">
        <f t="shared" si="6"/>
        <v/>
      </c>
      <c r="AT11" s="50" t="str">
        <f t="shared" si="6"/>
        <v/>
      </c>
      <c r="AU11" s="50" t="str">
        <f t="shared" si="6"/>
        <v/>
      </c>
      <c r="AV11" s="50" t="str">
        <f t="shared" si="6"/>
        <v/>
      </c>
      <c r="AW11" s="50" t="str">
        <f t="shared" si="6"/>
        <v/>
      </c>
      <c r="AX11" s="50" t="str">
        <f t="shared" si="6"/>
        <v/>
      </c>
      <c r="AY11" s="50" t="str">
        <f t="shared" si="6"/>
        <v/>
      </c>
      <c r="AZ11" s="50" t="str">
        <f t="shared" si="6"/>
        <v/>
      </c>
      <c r="BA11" s="50" t="str">
        <f t="shared" si="10"/>
        <v/>
      </c>
      <c r="BB11" s="71"/>
      <c r="BC11" s="31"/>
    </row>
    <row r="12" spans="1:55" x14ac:dyDescent="0.35">
      <c r="A12" s="69"/>
      <c r="B12" s="69"/>
      <c r="C12" s="69"/>
      <c r="D12" s="70"/>
      <c r="E12" s="71"/>
      <c r="F12" s="70"/>
      <c r="G12" s="71"/>
      <c r="H12" s="72"/>
      <c r="I12" s="50" t="str">
        <f t="shared" si="0"/>
        <v/>
      </c>
      <c r="J12" s="50" t="str">
        <f>IF(COUNTA($A12:$H12)&gt;0,IFERROR($G12*Summary!$C$46/Summary!$C$43,0),"")</f>
        <v/>
      </c>
      <c r="K12" s="50" t="str">
        <f>IF(COUNTA($A12:$H12)&gt;0,IFERROR($G12*Summary!$C$47/Summary!$C$43,0),"")</f>
        <v/>
      </c>
      <c r="L12" s="50" t="str">
        <f>IF(COUNTA($A12:$H12)&gt;0,IFERROR($G12*Summary!$C$48/Summary!$C$43,0),"")</f>
        <v/>
      </c>
      <c r="M12" s="50" t="str">
        <f>IF(COUNTA($A12:$H12)&gt;0,IFERROR($G12*Summary!$C$49/Summary!$C$43,0),"")</f>
        <v/>
      </c>
      <c r="N12" s="50" t="str">
        <f t="shared" si="1"/>
        <v/>
      </c>
      <c r="O12" s="50" t="str">
        <f t="shared" si="2"/>
        <v/>
      </c>
      <c r="P12" s="50" t="str">
        <f t="shared" si="2"/>
        <v/>
      </c>
      <c r="Q12" s="50" t="str">
        <f t="shared" si="2"/>
        <v/>
      </c>
      <c r="R12" s="50" t="str">
        <f t="shared" si="2"/>
        <v/>
      </c>
      <c r="S12" s="50" t="str">
        <f t="shared" si="2"/>
        <v/>
      </c>
      <c r="T12" s="50" t="str">
        <f t="shared" si="2"/>
        <v/>
      </c>
      <c r="U12" s="50" t="str">
        <f t="shared" si="2"/>
        <v/>
      </c>
      <c r="V12" s="50" t="str">
        <f t="shared" si="2"/>
        <v/>
      </c>
      <c r="W12" s="50" t="str">
        <f t="shared" si="2"/>
        <v/>
      </c>
      <c r="X12" s="50" t="str">
        <f t="shared" si="2"/>
        <v/>
      </c>
      <c r="Y12" s="50" t="str">
        <f t="shared" si="2"/>
        <v/>
      </c>
      <c r="Z12" s="50" t="str">
        <f t="shared" si="2"/>
        <v/>
      </c>
      <c r="AA12" s="50" t="str">
        <f t="shared" si="8"/>
        <v/>
      </c>
      <c r="AB12" s="50" t="str">
        <f t="shared" si="2"/>
        <v/>
      </c>
      <c r="AC12" s="50" t="str">
        <f t="shared" si="4"/>
        <v/>
      </c>
      <c r="AD12" s="50" t="str">
        <f t="shared" si="4"/>
        <v/>
      </c>
      <c r="AE12" s="50" t="str">
        <f t="shared" si="4"/>
        <v/>
      </c>
      <c r="AF12" s="50" t="str">
        <f t="shared" si="4"/>
        <v/>
      </c>
      <c r="AG12" s="50" t="str">
        <f t="shared" si="4"/>
        <v/>
      </c>
      <c r="AH12" s="50" t="str">
        <f t="shared" si="4"/>
        <v/>
      </c>
      <c r="AI12" s="50" t="str">
        <f t="shared" si="4"/>
        <v/>
      </c>
      <c r="AJ12" s="50" t="str">
        <f t="shared" si="4"/>
        <v/>
      </c>
      <c r="AK12" s="50" t="str">
        <f t="shared" si="4"/>
        <v/>
      </c>
      <c r="AL12" s="50" t="str">
        <f t="shared" si="4"/>
        <v/>
      </c>
      <c r="AM12" s="50" t="str">
        <f t="shared" si="4"/>
        <v/>
      </c>
      <c r="AN12" s="50" t="str">
        <f t="shared" si="9"/>
        <v/>
      </c>
      <c r="AO12" s="50" t="str">
        <f t="shared" si="4"/>
        <v/>
      </c>
      <c r="AP12" s="50" t="str">
        <f t="shared" si="6"/>
        <v/>
      </c>
      <c r="AQ12" s="50" t="str">
        <f t="shared" si="6"/>
        <v/>
      </c>
      <c r="AR12" s="50" t="str">
        <f t="shared" si="6"/>
        <v/>
      </c>
      <c r="AS12" s="50" t="str">
        <f t="shared" si="6"/>
        <v/>
      </c>
      <c r="AT12" s="50" t="str">
        <f t="shared" si="6"/>
        <v/>
      </c>
      <c r="AU12" s="50" t="str">
        <f t="shared" si="6"/>
        <v/>
      </c>
      <c r="AV12" s="50" t="str">
        <f t="shared" si="6"/>
        <v/>
      </c>
      <c r="AW12" s="50" t="str">
        <f t="shared" si="6"/>
        <v/>
      </c>
      <c r="AX12" s="50" t="str">
        <f t="shared" si="6"/>
        <v/>
      </c>
      <c r="AY12" s="50" t="str">
        <f t="shared" si="6"/>
        <v/>
      </c>
      <c r="AZ12" s="50" t="str">
        <f t="shared" si="6"/>
        <v/>
      </c>
      <c r="BA12" s="50" t="str">
        <f t="shared" si="10"/>
        <v/>
      </c>
      <c r="BB12" s="71"/>
      <c r="BC12" s="31"/>
    </row>
    <row r="13" spans="1:55" x14ac:dyDescent="0.35">
      <c r="A13" s="69"/>
      <c r="B13" s="69"/>
      <c r="C13" s="69"/>
      <c r="D13" s="70"/>
      <c r="E13" s="71"/>
      <c r="F13" s="70"/>
      <c r="G13" s="71"/>
      <c r="H13" s="72"/>
      <c r="I13" s="50" t="str">
        <f t="shared" si="0"/>
        <v/>
      </c>
      <c r="J13" s="50" t="str">
        <f>IF(COUNTA($A13:$H13)&gt;0,IFERROR($G13*Summary!$C$46/Summary!$C$43,0),"")</f>
        <v/>
      </c>
      <c r="K13" s="50" t="str">
        <f>IF(COUNTA($A13:$H13)&gt;0,IFERROR($G13*Summary!$C$47/Summary!$C$43,0),"")</f>
        <v/>
      </c>
      <c r="L13" s="50" t="str">
        <f>IF(COUNTA($A13:$H13)&gt;0,IFERROR($G13*Summary!$C$48/Summary!$C$43,0),"")</f>
        <v/>
      </c>
      <c r="M13" s="50" t="str">
        <f>IF(COUNTA($A13:$H13)&gt;0,IFERROR($G13*Summary!$C$49/Summary!$C$43,0),"")</f>
        <v/>
      </c>
      <c r="N13" s="50" t="str">
        <f t="shared" si="1"/>
        <v/>
      </c>
      <c r="O13" s="50" t="str">
        <f t="shared" si="2"/>
        <v/>
      </c>
      <c r="P13" s="50" t="str">
        <f t="shared" si="2"/>
        <v/>
      </c>
      <c r="Q13" s="50" t="str">
        <f t="shared" si="2"/>
        <v/>
      </c>
      <c r="R13" s="50" t="str">
        <f t="shared" si="2"/>
        <v/>
      </c>
      <c r="S13" s="50" t="str">
        <f t="shared" si="2"/>
        <v/>
      </c>
      <c r="T13" s="50" t="str">
        <f t="shared" si="2"/>
        <v/>
      </c>
      <c r="U13" s="50" t="str">
        <f t="shared" si="2"/>
        <v/>
      </c>
      <c r="V13" s="50" t="str">
        <f t="shared" si="2"/>
        <v/>
      </c>
      <c r="W13" s="50" t="str">
        <f t="shared" si="2"/>
        <v/>
      </c>
      <c r="X13" s="50" t="str">
        <f t="shared" si="2"/>
        <v/>
      </c>
      <c r="Y13" s="50" t="str">
        <f t="shared" si="2"/>
        <v/>
      </c>
      <c r="Z13" s="50" t="str">
        <f t="shared" si="2"/>
        <v/>
      </c>
      <c r="AA13" s="50" t="str">
        <f t="shared" si="8"/>
        <v/>
      </c>
      <c r="AB13" s="50" t="str">
        <f t="shared" si="2"/>
        <v/>
      </c>
      <c r="AC13" s="50" t="str">
        <f t="shared" si="4"/>
        <v/>
      </c>
      <c r="AD13" s="50" t="str">
        <f t="shared" si="4"/>
        <v/>
      </c>
      <c r="AE13" s="50" t="str">
        <f t="shared" si="4"/>
        <v/>
      </c>
      <c r="AF13" s="50" t="str">
        <f t="shared" si="4"/>
        <v/>
      </c>
      <c r="AG13" s="50" t="str">
        <f t="shared" si="4"/>
        <v/>
      </c>
      <c r="AH13" s="50" t="str">
        <f t="shared" si="4"/>
        <v/>
      </c>
      <c r="AI13" s="50" t="str">
        <f t="shared" si="4"/>
        <v/>
      </c>
      <c r="AJ13" s="50" t="str">
        <f t="shared" si="4"/>
        <v/>
      </c>
      <c r="AK13" s="50" t="str">
        <f t="shared" si="4"/>
        <v/>
      </c>
      <c r="AL13" s="50" t="str">
        <f t="shared" si="4"/>
        <v/>
      </c>
      <c r="AM13" s="50" t="str">
        <f t="shared" si="4"/>
        <v/>
      </c>
      <c r="AN13" s="50" t="str">
        <f t="shared" si="9"/>
        <v/>
      </c>
      <c r="AO13" s="50" t="str">
        <f t="shared" si="4"/>
        <v/>
      </c>
      <c r="AP13" s="50" t="str">
        <f t="shared" si="6"/>
        <v/>
      </c>
      <c r="AQ13" s="50" t="str">
        <f t="shared" si="6"/>
        <v/>
      </c>
      <c r="AR13" s="50" t="str">
        <f t="shared" si="6"/>
        <v/>
      </c>
      <c r="AS13" s="50" t="str">
        <f t="shared" si="6"/>
        <v/>
      </c>
      <c r="AT13" s="50" t="str">
        <f t="shared" si="6"/>
        <v/>
      </c>
      <c r="AU13" s="50" t="str">
        <f t="shared" si="6"/>
        <v/>
      </c>
      <c r="AV13" s="50" t="str">
        <f t="shared" si="6"/>
        <v/>
      </c>
      <c r="AW13" s="50" t="str">
        <f t="shared" si="6"/>
        <v/>
      </c>
      <c r="AX13" s="50" t="str">
        <f t="shared" si="6"/>
        <v/>
      </c>
      <c r="AY13" s="50" t="str">
        <f t="shared" si="6"/>
        <v/>
      </c>
      <c r="AZ13" s="50" t="str">
        <f t="shared" si="6"/>
        <v/>
      </c>
      <c r="BA13" s="50" t="str">
        <f t="shared" si="10"/>
        <v/>
      </c>
      <c r="BB13" s="71"/>
      <c r="BC13" s="31"/>
    </row>
    <row r="14" spans="1:55" x14ac:dyDescent="0.35">
      <c r="A14" s="69"/>
      <c r="B14" s="69"/>
      <c r="C14" s="69"/>
      <c r="D14" s="70"/>
      <c r="E14" s="71"/>
      <c r="F14" s="70"/>
      <c r="G14" s="71"/>
      <c r="H14" s="72"/>
      <c r="I14" s="50" t="str">
        <f t="shared" si="0"/>
        <v/>
      </c>
      <c r="J14" s="50" t="str">
        <f>IF(COUNTA($A14:$H14)&gt;0,IFERROR($G14*Summary!$C$46/Summary!$C$43,0),"")</f>
        <v/>
      </c>
      <c r="K14" s="50" t="str">
        <f>IF(COUNTA($A14:$H14)&gt;0,IFERROR($G14*Summary!$C$47/Summary!$C$43,0),"")</f>
        <v/>
      </c>
      <c r="L14" s="50" t="str">
        <f>IF(COUNTA($A14:$H14)&gt;0,IFERROR($G14*Summary!$C$48/Summary!$C$43,0),"")</f>
        <v/>
      </c>
      <c r="M14" s="50" t="str">
        <f>IF(COUNTA($A14:$H14)&gt;0,IFERROR($G14*Summary!$C$49/Summary!$C$43,0),"")</f>
        <v/>
      </c>
      <c r="N14" s="50" t="str">
        <f t="shared" si="1"/>
        <v/>
      </c>
      <c r="O14" s="50" t="str">
        <f t="shared" si="2"/>
        <v/>
      </c>
      <c r="P14" s="50" t="str">
        <f t="shared" si="2"/>
        <v/>
      </c>
      <c r="Q14" s="50" t="str">
        <f t="shared" si="2"/>
        <v/>
      </c>
      <c r="R14" s="50" t="str">
        <f t="shared" si="2"/>
        <v/>
      </c>
      <c r="S14" s="50" t="str">
        <f t="shared" si="2"/>
        <v/>
      </c>
      <c r="T14" s="50" t="str">
        <f t="shared" si="2"/>
        <v/>
      </c>
      <c r="U14" s="50" t="str">
        <f t="shared" si="2"/>
        <v/>
      </c>
      <c r="V14" s="50" t="str">
        <f t="shared" si="2"/>
        <v/>
      </c>
      <c r="W14" s="50" t="str">
        <f t="shared" si="2"/>
        <v/>
      </c>
      <c r="X14" s="50" t="str">
        <f t="shared" si="2"/>
        <v/>
      </c>
      <c r="Y14" s="50" t="str">
        <f t="shared" si="2"/>
        <v/>
      </c>
      <c r="Z14" s="50" t="str">
        <f t="shared" si="2"/>
        <v/>
      </c>
      <c r="AA14" s="50" t="str">
        <f t="shared" si="8"/>
        <v/>
      </c>
      <c r="AB14" s="50" t="str">
        <f t="shared" si="2"/>
        <v/>
      </c>
      <c r="AC14" s="50" t="str">
        <f t="shared" si="4"/>
        <v/>
      </c>
      <c r="AD14" s="50" t="str">
        <f t="shared" si="4"/>
        <v/>
      </c>
      <c r="AE14" s="50" t="str">
        <f t="shared" si="4"/>
        <v/>
      </c>
      <c r="AF14" s="50" t="str">
        <f t="shared" si="4"/>
        <v/>
      </c>
      <c r="AG14" s="50" t="str">
        <f t="shared" si="4"/>
        <v/>
      </c>
      <c r="AH14" s="50" t="str">
        <f t="shared" si="4"/>
        <v/>
      </c>
      <c r="AI14" s="50" t="str">
        <f t="shared" si="4"/>
        <v/>
      </c>
      <c r="AJ14" s="50" t="str">
        <f t="shared" si="4"/>
        <v/>
      </c>
      <c r="AK14" s="50" t="str">
        <f t="shared" si="4"/>
        <v/>
      </c>
      <c r="AL14" s="50" t="str">
        <f t="shared" si="4"/>
        <v/>
      </c>
      <c r="AM14" s="50" t="str">
        <f t="shared" si="4"/>
        <v/>
      </c>
      <c r="AN14" s="50" t="str">
        <f t="shared" si="9"/>
        <v/>
      </c>
      <c r="AO14" s="50" t="str">
        <f t="shared" si="4"/>
        <v/>
      </c>
      <c r="AP14" s="50" t="str">
        <f t="shared" si="6"/>
        <v/>
      </c>
      <c r="AQ14" s="50" t="str">
        <f t="shared" si="6"/>
        <v/>
      </c>
      <c r="AR14" s="50" t="str">
        <f t="shared" si="6"/>
        <v/>
      </c>
      <c r="AS14" s="50" t="str">
        <f t="shared" si="6"/>
        <v/>
      </c>
      <c r="AT14" s="50" t="str">
        <f t="shared" si="6"/>
        <v/>
      </c>
      <c r="AU14" s="50" t="str">
        <f t="shared" si="6"/>
        <v/>
      </c>
      <c r="AV14" s="50" t="str">
        <f t="shared" si="6"/>
        <v/>
      </c>
      <c r="AW14" s="50" t="str">
        <f t="shared" si="6"/>
        <v/>
      </c>
      <c r="AX14" s="50" t="str">
        <f t="shared" si="6"/>
        <v/>
      </c>
      <c r="AY14" s="50" t="str">
        <f t="shared" si="6"/>
        <v/>
      </c>
      <c r="AZ14" s="50" t="str">
        <f t="shared" si="6"/>
        <v/>
      </c>
      <c r="BA14" s="50" t="str">
        <f t="shared" si="10"/>
        <v/>
      </c>
      <c r="BB14" s="71"/>
      <c r="BC14" s="31"/>
    </row>
    <row r="15" spans="1:55" x14ac:dyDescent="0.35">
      <c r="A15" s="69"/>
      <c r="B15" s="69"/>
      <c r="C15" s="69"/>
      <c r="D15" s="70"/>
      <c r="E15" s="71"/>
      <c r="F15" s="70"/>
      <c r="G15" s="71"/>
      <c r="H15" s="72"/>
      <c r="I15" s="50" t="str">
        <f t="shared" si="0"/>
        <v/>
      </c>
      <c r="J15" s="50" t="str">
        <f>IF(COUNTA($A15:$H15)&gt;0,IFERROR($G15*Summary!$C$46/Summary!$C$43,0),"")</f>
        <v/>
      </c>
      <c r="K15" s="50" t="str">
        <f>IF(COUNTA($A15:$H15)&gt;0,IFERROR($G15*Summary!$C$47/Summary!$C$43,0),"")</f>
        <v/>
      </c>
      <c r="L15" s="50" t="str">
        <f>IF(COUNTA($A15:$H15)&gt;0,IFERROR($G15*Summary!$C$48/Summary!$C$43,0),"")</f>
        <v/>
      </c>
      <c r="M15" s="50" t="str">
        <f>IF(COUNTA($A15:$H15)&gt;0,IFERROR($G15*Summary!$C$49/Summary!$C$43,0),"")</f>
        <v/>
      </c>
      <c r="N15" s="50" t="str">
        <f t="shared" si="1"/>
        <v/>
      </c>
      <c r="O15" s="50" t="str">
        <f t="shared" si="2"/>
        <v/>
      </c>
      <c r="P15" s="50" t="str">
        <f t="shared" si="2"/>
        <v/>
      </c>
      <c r="Q15" s="50" t="str">
        <f t="shared" si="2"/>
        <v/>
      </c>
      <c r="R15" s="50" t="str">
        <f t="shared" si="2"/>
        <v/>
      </c>
      <c r="S15" s="50" t="str">
        <f t="shared" si="2"/>
        <v/>
      </c>
      <c r="T15" s="50" t="str">
        <f t="shared" si="2"/>
        <v/>
      </c>
      <c r="U15" s="50" t="str">
        <f t="shared" si="2"/>
        <v/>
      </c>
      <c r="V15" s="50" t="str">
        <f t="shared" si="2"/>
        <v/>
      </c>
      <c r="W15" s="50" t="str">
        <f t="shared" si="2"/>
        <v/>
      </c>
      <c r="X15" s="50" t="str">
        <f t="shared" si="2"/>
        <v/>
      </c>
      <c r="Y15" s="50" t="str">
        <f t="shared" si="2"/>
        <v/>
      </c>
      <c r="Z15" s="50" t="str">
        <f t="shared" si="2"/>
        <v/>
      </c>
      <c r="AA15" s="50" t="str">
        <f t="shared" si="8"/>
        <v/>
      </c>
      <c r="AB15" s="50" t="str">
        <f t="shared" si="2"/>
        <v/>
      </c>
      <c r="AC15" s="50" t="str">
        <f t="shared" si="4"/>
        <v/>
      </c>
      <c r="AD15" s="50" t="str">
        <f t="shared" si="4"/>
        <v/>
      </c>
      <c r="AE15" s="50" t="str">
        <f t="shared" si="4"/>
        <v/>
      </c>
      <c r="AF15" s="50" t="str">
        <f t="shared" si="4"/>
        <v/>
      </c>
      <c r="AG15" s="50" t="str">
        <f t="shared" si="4"/>
        <v/>
      </c>
      <c r="AH15" s="50" t="str">
        <f t="shared" si="4"/>
        <v/>
      </c>
      <c r="AI15" s="50" t="str">
        <f t="shared" si="4"/>
        <v/>
      </c>
      <c r="AJ15" s="50" t="str">
        <f t="shared" si="4"/>
        <v/>
      </c>
      <c r="AK15" s="50" t="str">
        <f t="shared" si="4"/>
        <v/>
      </c>
      <c r="AL15" s="50" t="str">
        <f t="shared" si="4"/>
        <v/>
      </c>
      <c r="AM15" s="50" t="str">
        <f t="shared" si="4"/>
        <v/>
      </c>
      <c r="AN15" s="50" t="str">
        <f t="shared" si="9"/>
        <v/>
      </c>
      <c r="AO15" s="50" t="str">
        <f t="shared" si="4"/>
        <v/>
      </c>
      <c r="AP15" s="50" t="str">
        <f t="shared" si="6"/>
        <v/>
      </c>
      <c r="AQ15" s="50" t="str">
        <f t="shared" si="6"/>
        <v/>
      </c>
      <c r="AR15" s="50" t="str">
        <f t="shared" si="6"/>
        <v/>
      </c>
      <c r="AS15" s="50" t="str">
        <f t="shared" si="6"/>
        <v/>
      </c>
      <c r="AT15" s="50" t="str">
        <f t="shared" si="6"/>
        <v/>
      </c>
      <c r="AU15" s="50" t="str">
        <f t="shared" si="6"/>
        <v/>
      </c>
      <c r="AV15" s="50" t="str">
        <f t="shared" si="6"/>
        <v/>
      </c>
      <c r="AW15" s="50" t="str">
        <f t="shared" si="6"/>
        <v/>
      </c>
      <c r="AX15" s="50" t="str">
        <f t="shared" si="6"/>
        <v/>
      </c>
      <c r="AY15" s="50" t="str">
        <f t="shared" si="6"/>
        <v/>
      </c>
      <c r="AZ15" s="50" t="str">
        <f t="shared" si="6"/>
        <v/>
      </c>
      <c r="BA15" s="50" t="str">
        <f t="shared" si="10"/>
        <v/>
      </c>
      <c r="BB15" s="71"/>
      <c r="BC15" s="31"/>
    </row>
    <row r="16" spans="1:55" x14ac:dyDescent="0.35">
      <c r="A16" s="69"/>
      <c r="B16" s="69"/>
      <c r="C16" s="69"/>
      <c r="D16" s="70"/>
      <c r="E16" s="71"/>
      <c r="F16" s="70"/>
      <c r="G16" s="71"/>
      <c r="H16" s="72"/>
      <c r="I16" s="50" t="str">
        <f t="shared" si="0"/>
        <v/>
      </c>
      <c r="J16" s="50" t="str">
        <f>IF(COUNTA($A16:$H16)&gt;0,IFERROR($G16*Summary!$C$46/Summary!$C$43,0),"")</f>
        <v/>
      </c>
      <c r="K16" s="50" t="str">
        <f>IF(COUNTA($A16:$H16)&gt;0,IFERROR($G16*Summary!$C$47/Summary!$C$43,0),"")</f>
        <v/>
      </c>
      <c r="L16" s="50" t="str">
        <f>IF(COUNTA($A16:$H16)&gt;0,IFERROR($G16*Summary!$C$48/Summary!$C$43,0),"")</f>
        <v/>
      </c>
      <c r="M16" s="50" t="str">
        <f>IF(COUNTA($A16:$H16)&gt;0,IFERROR($G16*Summary!$C$49/Summary!$C$43,0),"")</f>
        <v/>
      </c>
      <c r="N16" s="50" t="str">
        <f t="shared" si="1"/>
        <v/>
      </c>
      <c r="O16" s="50" t="str">
        <f t="shared" si="2"/>
        <v/>
      </c>
      <c r="P16" s="50" t="str">
        <f t="shared" si="2"/>
        <v/>
      </c>
      <c r="Q16" s="50" t="str">
        <f t="shared" si="2"/>
        <v/>
      </c>
      <c r="R16" s="50" t="str">
        <f t="shared" si="2"/>
        <v/>
      </c>
      <c r="S16" s="50" t="str">
        <f t="shared" si="2"/>
        <v/>
      </c>
      <c r="T16" s="50" t="str">
        <f t="shared" si="2"/>
        <v/>
      </c>
      <c r="U16" s="50" t="str">
        <f t="shared" si="2"/>
        <v/>
      </c>
      <c r="V16" s="50" t="str">
        <f t="shared" si="2"/>
        <v/>
      </c>
      <c r="W16" s="50" t="str">
        <f t="shared" si="2"/>
        <v/>
      </c>
      <c r="X16" s="50" t="str">
        <f t="shared" si="2"/>
        <v/>
      </c>
      <c r="Y16" s="50" t="str">
        <f t="shared" si="2"/>
        <v/>
      </c>
      <c r="Z16" s="50" t="str">
        <f t="shared" si="2"/>
        <v/>
      </c>
      <c r="AA16" s="50" t="str">
        <f t="shared" si="8"/>
        <v/>
      </c>
      <c r="AB16" s="50" t="str">
        <f t="shared" si="2"/>
        <v/>
      </c>
      <c r="AC16" s="50" t="str">
        <f t="shared" si="4"/>
        <v/>
      </c>
      <c r="AD16" s="50" t="str">
        <f t="shared" si="4"/>
        <v/>
      </c>
      <c r="AE16" s="50" t="str">
        <f t="shared" si="4"/>
        <v/>
      </c>
      <c r="AF16" s="50" t="str">
        <f t="shared" si="4"/>
        <v/>
      </c>
      <c r="AG16" s="50" t="str">
        <f t="shared" si="4"/>
        <v/>
      </c>
      <c r="AH16" s="50" t="str">
        <f t="shared" si="4"/>
        <v/>
      </c>
      <c r="AI16" s="50" t="str">
        <f t="shared" si="4"/>
        <v/>
      </c>
      <c r="AJ16" s="50" t="str">
        <f t="shared" si="4"/>
        <v/>
      </c>
      <c r="AK16" s="50" t="str">
        <f t="shared" si="4"/>
        <v/>
      </c>
      <c r="AL16" s="50" t="str">
        <f t="shared" si="4"/>
        <v/>
      </c>
      <c r="AM16" s="50" t="str">
        <f t="shared" si="4"/>
        <v/>
      </c>
      <c r="AN16" s="50" t="str">
        <f t="shared" si="9"/>
        <v/>
      </c>
      <c r="AO16" s="50" t="str">
        <f t="shared" si="4"/>
        <v/>
      </c>
      <c r="AP16" s="50" t="str">
        <f t="shared" si="6"/>
        <v/>
      </c>
      <c r="AQ16" s="50" t="str">
        <f t="shared" si="6"/>
        <v/>
      </c>
      <c r="AR16" s="50" t="str">
        <f t="shared" si="6"/>
        <v/>
      </c>
      <c r="AS16" s="50" t="str">
        <f t="shared" si="6"/>
        <v/>
      </c>
      <c r="AT16" s="50" t="str">
        <f t="shared" si="6"/>
        <v/>
      </c>
      <c r="AU16" s="50" t="str">
        <f t="shared" si="6"/>
        <v/>
      </c>
      <c r="AV16" s="50" t="str">
        <f t="shared" si="6"/>
        <v/>
      </c>
      <c r="AW16" s="50" t="str">
        <f t="shared" si="6"/>
        <v/>
      </c>
      <c r="AX16" s="50" t="str">
        <f t="shared" si="6"/>
        <v/>
      </c>
      <c r="AY16" s="50" t="str">
        <f t="shared" si="6"/>
        <v/>
      </c>
      <c r="AZ16" s="50" t="str">
        <f t="shared" si="6"/>
        <v/>
      </c>
      <c r="BA16" s="50" t="str">
        <f t="shared" si="10"/>
        <v/>
      </c>
      <c r="BB16" s="71"/>
      <c r="BC16" s="31"/>
    </row>
    <row r="17" spans="1:55" x14ac:dyDescent="0.35">
      <c r="A17" s="69"/>
      <c r="B17" s="69"/>
      <c r="C17" s="69"/>
      <c r="D17" s="70"/>
      <c r="E17" s="71"/>
      <c r="F17" s="70"/>
      <c r="G17" s="71"/>
      <c r="H17" s="72"/>
      <c r="I17" s="50" t="str">
        <f t="shared" si="0"/>
        <v/>
      </c>
      <c r="J17" s="50" t="str">
        <f>IF(COUNTA($A17:$H17)&gt;0,IFERROR($G17*Summary!$C$46/Summary!$C$43,0),"")</f>
        <v/>
      </c>
      <c r="K17" s="50" t="str">
        <f>IF(COUNTA($A17:$H17)&gt;0,IFERROR($G17*Summary!$C$47/Summary!$C$43,0),"")</f>
        <v/>
      </c>
      <c r="L17" s="50" t="str">
        <f>IF(COUNTA($A17:$H17)&gt;0,IFERROR($G17*Summary!$C$48/Summary!$C$43,0),"")</f>
        <v/>
      </c>
      <c r="M17" s="50" t="str">
        <f>IF(COUNTA($A17:$H17)&gt;0,IFERROR($G17*Summary!$C$49/Summary!$C$43,0),"")</f>
        <v/>
      </c>
      <c r="N17" s="50" t="str">
        <f t="shared" si="1"/>
        <v/>
      </c>
      <c r="O17" s="50" t="str">
        <f t="shared" si="2"/>
        <v/>
      </c>
      <c r="P17" s="50" t="str">
        <f t="shared" si="2"/>
        <v/>
      </c>
      <c r="Q17" s="50" t="str">
        <f t="shared" si="2"/>
        <v/>
      </c>
      <c r="R17" s="50" t="str">
        <f t="shared" si="2"/>
        <v/>
      </c>
      <c r="S17" s="50" t="str">
        <f t="shared" si="2"/>
        <v/>
      </c>
      <c r="T17" s="50" t="str">
        <f t="shared" si="2"/>
        <v/>
      </c>
      <c r="U17" s="50" t="str">
        <f t="shared" si="2"/>
        <v/>
      </c>
      <c r="V17" s="50" t="str">
        <f t="shared" si="2"/>
        <v/>
      </c>
      <c r="W17" s="50" t="str">
        <f t="shared" si="2"/>
        <v/>
      </c>
      <c r="X17" s="50" t="str">
        <f t="shared" si="2"/>
        <v/>
      </c>
      <c r="Y17" s="50" t="str">
        <f t="shared" si="2"/>
        <v/>
      </c>
      <c r="Z17" s="50" t="str">
        <f t="shared" si="2"/>
        <v/>
      </c>
      <c r="AA17" s="50" t="str">
        <f t="shared" si="8"/>
        <v/>
      </c>
      <c r="AB17" s="50" t="str">
        <f t="shared" si="2"/>
        <v/>
      </c>
      <c r="AC17" s="50" t="str">
        <f t="shared" si="4"/>
        <v/>
      </c>
      <c r="AD17" s="50" t="str">
        <f t="shared" si="4"/>
        <v/>
      </c>
      <c r="AE17" s="50" t="str">
        <f t="shared" si="4"/>
        <v/>
      </c>
      <c r="AF17" s="50" t="str">
        <f t="shared" si="4"/>
        <v/>
      </c>
      <c r="AG17" s="50" t="str">
        <f t="shared" si="4"/>
        <v/>
      </c>
      <c r="AH17" s="50" t="str">
        <f t="shared" si="4"/>
        <v/>
      </c>
      <c r="AI17" s="50" t="str">
        <f t="shared" si="4"/>
        <v/>
      </c>
      <c r="AJ17" s="50" t="str">
        <f t="shared" si="4"/>
        <v/>
      </c>
      <c r="AK17" s="50" t="str">
        <f t="shared" si="4"/>
        <v/>
      </c>
      <c r="AL17" s="50" t="str">
        <f t="shared" si="4"/>
        <v/>
      </c>
      <c r="AM17" s="50" t="str">
        <f t="shared" si="4"/>
        <v/>
      </c>
      <c r="AN17" s="50" t="str">
        <f t="shared" si="9"/>
        <v/>
      </c>
      <c r="AO17" s="50" t="str">
        <f t="shared" si="4"/>
        <v/>
      </c>
      <c r="AP17" s="50" t="str">
        <f t="shared" si="6"/>
        <v/>
      </c>
      <c r="AQ17" s="50" t="str">
        <f t="shared" si="6"/>
        <v/>
      </c>
      <c r="AR17" s="50" t="str">
        <f t="shared" si="6"/>
        <v/>
      </c>
      <c r="AS17" s="50" t="str">
        <f t="shared" si="6"/>
        <v/>
      </c>
      <c r="AT17" s="50" t="str">
        <f t="shared" si="6"/>
        <v/>
      </c>
      <c r="AU17" s="50" t="str">
        <f t="shared" si="6"/>
        <v/>
      </c>
      <c r="AV17" s="50" t="str">
        <f t="shared" si="6"/>
        <v/>
      </c>
      <c r="AW17" s="50" t="str">
        <f t="shared" si="6"/>
        <v/>
      </c>
      <c r="AX17" s="50" t="str">
        <f t="shared" si="6"/>
        <v/>
      </c>
      <c r="AY17" s="50" t="str">
        <f t="shared" si="6"/>
        <v/>
      </c>
      <c r="AZ17" s="50" t="str">
        <f t="shared" si="6"/>
        <v/>
      </c>
      <c r="BA17" s="50" t="str">
        <f t="shared" si="10"/>
        <v/>
      </c>
      <c r="BB17" s="71"/>
      <c r="BC17" s="31"/>
    </row>
    <row r="18" spans="1:55" x14ac:dyDescent="0.35">
      <c r="A18" s="69"/>
      <c r="B18" s="69"/>
      <c r="C18" s="69"/>
      <c r="D18" s="70"/>
      <c r="E18" s="71"/>
      <c r="F18" s="70"/>
      <c r="G18" s="71"/>
      <c r="H18" s="72"/>
      <c r="I18" s="50" t="str">
        <f t="shared" si="0"/>
        <v/>
      </c>
      <c r="J18" s="50" t="str">
        <f>IF(COUNTA($A18:$H18)&gt;0,IFERROR($G18*Summary!$C$46/Summary!$C$43,0),"")</f>
        <v/>
      </c>
      <c r="K18" s="50" t="str">
        <f>IF(COUNTA($A18:$H18)&gt;0,IFERROR($G18*Summary!$C$47/Summary!$C$43,0),"")</f>
        <v/>
      </c>
      <c r="L18" s="50" t="str">
        <f>IF(COUNTA($A18:$H18)&gt;0,IFERROR($G18*Summary!$C$48/Summary!$C$43,0),"")</f>
        <v/>
      </c>
      <c r="M18" s="50" t="str">
        <f>IF(COUNTA($A18:$H18)&gt;0,IFERROR($G18*Summary!$C$49/Summary!$C$43,0),"")</f>
        <v/>
      </c>
      <c r="N18" s="50" t="str">
        <f t="shared" si="1"/>
        <v/>
      </c>
      <c r="O18" s="50" t="str">
        <f t="shared" si="2"/>
        <v/>
      </c>
      <c r="P18" s="50" t="str">
        <f t="shared" si="2"/>
        <v/>
      </c>
      <c r="Q18" s="50" t="str">
        <f t="shared" si="2"/>
        <v/>
      </c>
      <c r="R18" s="50" t="str">
        <f t="shared" si="2"/>
        <v/>
      </c>
      <c r="S18" s="50" t="str">
        <f t="shared" si="2"/>
        <v/>
      </c>
      <c r="T18" s="50" t="str">
        <f t="shared" si="2"/>
        <v/>
      </c>
      <c r="U18" s="50" t="str">
        <f t="shared" si="2"/>
        <v/>
      </c>
      <c r="V18" s="50" t="str">
        <f t="shared" si="2"/>
        <v/>
      </c>
      <c r="W18" s="50" t="str">
        <f t="shared" si="2"/>
        <v/>
      </c>
      <c r="X18" s="50" t="str">
        <f t="shared" si="2"/>
        <v/>
      </c>
      <c r="Y18" s="50" t="str">
        <f t="shared" si="2"/>
        <v/>
      </c>
      <c r="Z18" s="50" t="str">
        <f t="shared" si="2"/>
        <v/>
      </c>
      <c r="AA18" s="50" t="str">
        <f t="shared" si="8"/>
        <v/>
      </c>
      <c r="AB18" s="50" t="str">
        <f t="shared" si="2"/>
        <v/>
      </c>
      <c r="AC18" s="50" t="str">
        <f t="shared" si="4"/>
        <v/>
      </c>
      <c r="AD18" s="50" t="str">
        <f t="shared" si="4"/>
        <v/>
      </c>
      <c r="AE18" s="50" t="str">
        <f t="shared" si="4"/>
        <v/>
      </c>
      <c r="AF18" s="50" t="str">
        <f t="shared" si="4"/>
        <v/>
      </c>
      <c r="AG18" s="50" t="str">
        <f t="shared" si="4"/>
        <v/>
      </c>
      <c r="AH18" s="50" t="str">
        <f t="shared" si="4"/>
        <v/>
      </c>
      <c r="AI18" s="50" t="str">
        <f t="shared" si="4"/>
        <v/>
      </c>
      <c r="AJ18" s="50" t="str">
        <f t="shared" si="4"/>
        <v/>
      </c>
      <c r="AK18" s="50" t="str">
        <f t="shared" si="4"/>
        <v/>
      </c>
      <c r="AL18" s="50" t="str">
        <f t="shared" si="4"/>
        <v/>
      </c>
      <c r="AM18" s="50" t="str">
        <f t="shared" si="4"/>
        <v/>
      </c>
      <c r="AN18" s="50" t="str">
        <f t="shared" si="9"/>
        <v/>
      </c>
      <c r="AO18" s="50" t="str">
        <f t="shared" si="4"/>
        <v/>
      </c>
      <c r="AP18" s="50" t="str">
        <f t="shared" si="6"/>
        <v/>
      </c>
      <c r="AQ18" s="50" t="str">
        <f t="shared" si="6"/>
        <v/>
      </c>
      <c r="AR18" s="50" t="str">
        <f t="shared" si="6"/>
        <v/>
      </c>
      <c r="AS18" s="50" t="str">
        <f t="shared" si="6"/>
        <v/>
      </c>
      <c r="AT18" s="50" t="str">
        <f t="shared" si="6"/>
        <v/>
      </c>
      <c r="AU18" s="50" t="str">
        <f t="shared" si="6"/>
        <v/>
      </c>
      <c r="AV18" s="50" t="str">
        <f t="shared" si="6"/>
        <v/>
      </c>
      <c r="AW18" s="50" t="str">
        <f t="shared" si="6"/>
        <v/>
      </c>
      <c r="AX18" s="50" t="str">
        <f t="shared" si="6"/>
        <v/>
      </c>
      <c r="AY18" s="50" t="str">
        <f t="shared" si="6"/>
        <v/>
      </c>
      <c r="AZ18" s="50" t="str">
        <f t="shared" si="6"/>
        <v/>
      </c>
      <c r="BA18" s="50" t="str">
        <f t="shared" si="10"/>
        <v/>
      </c>
      <c r="BB18" s="71"/>
      <c r="BC18" s="31"/>
    </row>
    <row r="19" spans="1:55" x14ac:dyDescent="0.35">
      <c r="A19" s="69"/>
      <c r="B19" s="69"/>
      <c r="C19" s="69"/>
      <c r="D19" s="70"/>
      <c r="E19" s="71"/>
      <c r="F19" s="70"/>
      <c r="G19" s="71"/>
      <c r="H19" s="72"/>
      <c r="I19" s="50" t="str">
        <f t="shared" si="0"/>
        <v/>
      </c>
      <c r="J19" s="50" t="str">
        <f>IF(COUNTA($A19:$H19)&gt;0,IFERROR($G19*Summary!$C$46/Summary!$C$43,0),"")</f>
        <v/>
      </c>
      <c r="K19" s="50" t="str">
        <f>IF(COUNTA($A19:$H19)&gt;0,IFERROR($G19*Summary!$C$47/Summary!$C$43,0),"")</f>
        <v/>
      </c>
      <c r="L19" s="50" t="str">
        <f>IF(COUNTA($A19:$H19)&gt;0,IFERROR($G19*Summary!$C$48/Summary!$C$43,0),"")</f>
        <v/>
      </c>
      <c r="M19" s="50" t="str">
        <f>IF(COUNTA($A19:$H19)&gt;0,IFERROR($G19*Summary!$C$49/Summary!$C$43,0),"")</f>
        <v/>
      </c>
      <c r="N19" s="50" t="str">
        <f t="shared" si="1"/>
        <v/>
      </c>
      <c r="O19" s="50" t="str">
        <f t="shared" si="2"/>
        <v/>
      </c>
      <c r="P19" s="50" t="str">
        <f t="shared" si="2"/>
        <v/>
      </c>
      <c r="Q19" s="50" t="str">
        <f t="shared" si="2"/>
        <v/>
      </c>
      <c r="R19" s="50" t="str">
        <f t="shared" si="2"/>
        <v/>
      </c>
      <c r="S19" s="50" t="str">
        <f t="shared" si="2"/>
        <v/>
      </c>
      <c r="T19" s="50" t="str">
        <f t="shared" si="2"/>
        <v/>
      </c>
      <c r="U19" s="50" t="str">
        <f t="shared" si="2"/>
        <v/>
      </c>
      <c r="V19" s="50" t="str">
        <f t="shared" si="2"/>
        <v/>
      </c>
      <c r="W19" s="50" t="str">
        <f t="shared" si="2"/>
        <v/>
      </c>
      <c r="X19" s="50" t="str">
        <f t="shared" si="2"/>
        <v/>
      </c>
      <c r="Y19" s="50" t="str">
        <f t="shared" si="2"/>
        <v/>
      </c>
      <c r="Z19" s="50" t="str">
        <f t="shared" si="2"/>
        <v/>
      </c>
      <c r="AA19" s="50" t="str">
        <f t="shared" si="8"/>
        <v/>
      </c>
      <c r="AB19" s="50" t="str">
        <f t="shared" si="2"/>
        <v/>
      </c>
      <c r="AC19" s="50" t="str">
        <f t="shared" si="4"/>
        <v/>
      </c>
      <c r="AD19" s="50" t="str">
        <f t="shared" si="4"/>
        <v/>
      </c>
      <c r="AE19" s="50" t="str">
        <f t="shared" si="4"/>
        <v/>
      </c>
      <c r="AF19" s="50" t="str">
        <f t="shared" si="4"/>
        <v/>
      </c>
      <c r="AG19" s="50" t="str">
        <f t="shared" si="4"/>
        <v/>
      </c>
      <c r="AH19" s="50" t="str">
        <f t="shared" si="4"/>
        <v/>
      </c>
      <c r="AI19" s="50" t="str">
        <f t="shared" si="4"/>
        <v/>
      </c>
      <c r="AJ19" s="50" t="str">
        <f t="shared" si="4"/>
        <v/>
      </c>
      <c r="AK19" s="50" t="str">
        <f t="shared" si="4"/>
        <v/>
      </c>
      <c r="AL19" s="50" t="str">
        <f t="shared" si="4"/>
        <v/>
      </c>
      <c r="AM19" s="50" t="str">
        <f t="shared" si="4"/>
        <v/>
      </c>
      <c r="AN19" s="50" t="str">
        <f t="shared" si="9"/>
        <v/>
      </c>
      <c r="AO19" s="50" t="str">
        <f t="shared" si="4"/>
        <v/>
      </c>
      <c r="AP19" s="50" t="str">
        <f t="shared" si="6"/>
        <v/>
      </c>
      <c r="AQ19" s="50" t="str">
        <f t="shared" si="6"/>
        <v/>
      </c>
      <c r="AR19" s="50" t="str">
        <f t="shared" si="6"/>
        <v/>
      </c>
      <c r="AS19" s="50" t="str">
        <f t="shared" si="6"/>
        <v/>
      </c>
      <c r="AT19" s="50" t="str">
        <f t="shared" si="6"/>
        <v/>
      </c>
      <c r="AU19" s="50" t="str">
        <f t="shared" si="6"/>
        <v/>
      </c>
      <c r="AV19" s="50" t="str">
        <f t="shared" si="6"/>
        <v/>
      </c>
      <c r="AW19" s="50" t="str">
        <f t="shared" si="6"/>
        <v/>
      </c>
      <c r="AX19" s="50" t="str">
        <f t="shared" si="6"/>
        <v/>
      </c>
      <c r="AY19" s="50" t="str">
        <f t="shared" si="6"/>
        <v/>
      </c>
      <c r="AZ19" s="50" t="str">
        <f t="shared" si="6"/>
        <v/>
      </c>
      <c r="BA19" s="50" t="str">
        <f t="shared" si="10"/>
        <v/>
      </c>
      <c r="BB19" s="71"/>
      <c r="BC19" s="31"/>
    </row>
    <row r="20" spans="1:55" x14ac:dyDescent="0.35">
      <c r="A20" s="69"/>
      <c r="B20" s="69"/>
      <c r="C20" s="69"/>
      <c r="D20" s="70"/>
      <c r="E20" s="71"/>
      <c r="F20" s="70"/>
      <c r="G20" s="71"/>
      <c r="H20" s="72"/>
      <c r="I20" s="50" t="str">
        <f t="shared" si="0"/>
        <v/>
      </c>
      <c r="J20" s="50" t="str">
        <f>IF(COUNTA($A20:$H20)&gt;0,IFERROR($G20*Summary!$C$46/Summary!$C$43,0),"")</f>
        <v/>
      </c>
      <c r="K20" s="50" t="str">
        <f>IF(COUNTA($A20:$H20)&gt;0,IFERROR($G20*Summary!$C$47/Summary!$C$43,0),"")</f>
        <v/>
      </c>
      <c r="L20" s="50" t="str">
        <f>IF(COUNTA($A20:$H20)&gt;0,IFERROR($G20*Summary!$C$48/Summary!$C$43,0),"")</f>
        <v/>
      </c>
      <c r="M20" s="50" t="str">
        <f>IF(COUNTA($A20:$H20)&gt;0,IFERROR($G20*Summary!$C$49/Summary!$C$43,0),"")</f>
        <v/>
      </c>
      <c r="N20" s="50" t="str">
        <f t="shared" si="1"/>
        <v/>
      </c>
      <c r="O20" s="50" t="str">
        <f t="shared" si="2"/>
        <v/>
      </c>
      <c r="P20" s="50" t="str">
        <f t="shared" si="2"/>
        <v/>
      </c>
      <c r="Q20" s="50" t="str">
        <f t="shared" si="2"/>
        <v/>
      </c>
      <c r="R20" s="50" t="str">
        <f t="shared" si="2"/>
        <v/>
      </c>
      <c r="S20" s="50" t="str">
        <f t="shared" si="2"/>
        <v/>
      </c>
      <c r="T20" s="50" t="str">
        <f t="shared" si="2"/>
        <v/>
      </c>
      <c r="U20" s="50" t="str">
        <f t="shared" si="2"/>
        <v/>
      </c>
      <c r="V20" s="50" t="str">
        <f t="shared" si="2"/>
        <v/>
      </c>
      <c r="W20" s="50" t="str">
        <f t="shared" si="2"/>
        <v/>
      </c>
      <c r="X20" s="50" t="str">
        <f t="shared" si="2"/>
        <v/>
      </c>
      <c r="Y20" s="50" t="str">
        <f t="shared" si="2"/>
        <v/>
      </c>
      <c r="Z20" s="50" t="str">
        <f t="shared" si="2"/>
        <v/>
      </c>
      <c r="AA20" s="50" t="str">
        <f t="shared" si="8"/>
        <v/>
      </c>
      <c r="AB20" s="50" t="str">
        <f t="shared" si="2"/>
        <v/>
      </c>
      <c r="AC20" s="50" t="str">
        <f t="shared" si="4"/>
        <v/>
      </c>
      <c r="AD20" s="50" t="str">
        <f t="shared" si="4"/>
        <v/>
      </c>
      <c r="AE20" s="50" t="str">
        <f t="shared" si="4"/>
        <v/>
      </c>
      <c r="AF20" s="50" t="str">
        <f t="shared" si="4"/>
        <v/>
      </c>
      <c r="AG20" s="50" t="str">
        <f t="shared" si="4"/>
        <v/>
      </c>
      <c r="AH20" s="50" t="str">
        <f t="shared" si="4"/>
        <v/>
      </c>
      <c r="AI20" s="50" t="str">
        <f t="shared" si="4"/>
        <v/>
      </c>
      <c r="AJ20" s="50" t="str">
        <f t="shared" si="4"/>
        <v/>
      </c>
      <c r="AK20" s="50" t="str">
        <f t="shared" si="4"/>
        <v/>
      </c>
      <c r="AL20" s="50" t="str">
        <f t="shared" si="4"/>
        <v/>
      </c>
      <c r="AM20" s="50" t="str">
        <f t="shared" si="4"/>
        <v/>
      </c>
      <c r="AN20" s="50" t="str">
        <f t="shared" si="9"/>
        <v/>
      </c>
      <c r="AO20" s="50" t="str">
        <f t="shared" si="4"/>
        <v/>
      </c>
      <c r="AP20" s="50" t="str">
        <f t="shared" si="6"/>
        <v/>
      </c>
      <c r="AQ20" s="50" t="str">
        <f t="shared" si="6"/>
        <v/>
      </c>
      <c r="AR20" s="50" t="str">
        <f t="shared" si="6"/>
        <v/>
      </c>
      <c r="AS20" s="50" t="str">
        <f t="shared" si="6"/>
        <v/>
      </c>
      <c r="AT20" s="50" t="str">
        <f t="shared" si="6"/>
        <v/>
      </c>
      <c r="AU20" s="50" t="str">
        <f t="shared" si="6"/>
        <v/>
      </c>
      <c r="AV20" s="50" t="str">
        <f t="shared" si="6"/>
        <v/>
      </c>
      <c r="AW20" s="50" t="str">
        <f t="shared" si="6"/>
        <v/>
      </c>
      <c r="AX20" s="50" t="str">
        <f t="shared" si="6"/>
        <v/>
      </c>
      <c r="AY20" s="50" t="str">
        <f t="shared" si="6"/>
        <v/>
      </c>
      <c r="AZ20" s="50" t="str">
        <f t="shared" si="6"/>
        <v/>
      </c>
      <c r="BA20" s="50" t="str">
        <f t="shared" si="10"/>
        <v/>
      </c>
      <c r="BB20" s="71"/>
      <c r="BC20" s="31"/>
    </row>
    <row r="21" spans="1:55" x14ac:dyDescent="0.35">
      <c r="A21" s="30"/>
      <c r="B21" s="30"/>
      <c r="C21" s="30"/>
      <c r="D21" s="30"/>
      <c r="E21" s="31"/>
      <c r="F21" s="31"/>
      <c r="G21" s="31"/>
      <c r="H21" s="31"/>
      <c r="I21" s="31"/>
      <c r="J21" s="31"/>
      <c r="K21" s="31"/>
      <c r="L21" s="31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1"/>
      <c r="BC21" s="31"/>
    </row>
    <row r="22" spans="1:55" ht="15" customHeight="1" thickBot="1" x14ac:dyDescent="0.4">
      <c r="A22" s="35" t="s">
        <v>56</v>
      </c>
      <c r="B22" s="35"/>
      <c r="C22" s="35"/>
      <c r="D22" s="35"/>
      <c r="E22" s="36"/>
      <c r="F22" s="37"/>
      <c r="G22" s="36">
        <f>SUM(G5:G20)</f>
        <v>0</v>
      </c>
      <c r="H22" s="36"/>
      <c r="I22" s="36">
        <f t="shared" ref="I22:BA22" si="11">SUM(I5:I20)</f>
        <v>0</v>
      </c>
      <c r="J22" s="36">
        <f t="shared" si="11"/>
        <v>0</v>
      </c>
      <c r="K22" s="36">
        <f t="shared" si="11"/>
        <v>0</v>
      </c>
      <c r="L22" s="36">
        <f t="shared" si="11"/>
        <v>0</v>
      </c>
      <c r="M22" s="36">
        <f t="shared" si="11"/>
        <v>0</v>
      </c>
      <c r="N22" s="36">
        <f t="shared" si="11"/>
        <v>0</v>
      </c>
      <c r="O22" s="36">
        <f t="shared" si="11"/>
        <v>0</v>
      </c>
      <c r="P22" s="36">
        <f t="shared" si="11"/>
        <v>0</v>
      </c>
      <c r="Q22" s="36">
        <f t="shared" si="11"/>
        <v>0</v>
      </c>
      <c r="R22" s="36">
        <f t="shared" si="11"/>
        <v>0</v>
      </c>
      <c r="S22" s="36">
        <f t="shared" si="11"/>
        <v>0</v>
      </c>
      <c r="T22" s="36">
        <f t="shared" si="11"/>
        <v>0</v>
      </c>
      <c r="U22" s="36">
        <f t="shared" si="11"/>
        <v>0</v>
      </c>
      <c r="V22" s="36">
        <f t="shared" si="11"/>
        <v>0</v>
      </c>
      <c r="W22" s="36">
        <f t="shared" si="11"/>
        <v>0</v>
      </c>
      <c r="X22" s="36">
        <f t="shared" si="11"/>
        <v>0</v>
      </c>
      <c r="Y22" s="36">
        <f t="shared" si="11"/>
        <v>0</v>
      </c>
      <c r="Z22" s="36">
        <f t="shared" si="11"/>
        <v>0</v>
      </c>
      <c r="AA22" s="36">
        <f t="shared" si="11"/>
        <v>0</v>
      </c>
      <c r="AB22" s="36">
        <f t="shared" si="11"/>
        <v>0</v>
      </c>
      <c r="AC22" s="36">
        <f t="shared" si="11"/>
        <v>0</v>
      </c>
      <c r="AD22" s="36">
        <f t="shared" si="11"/>
        <v>0</v>
      </c>
      <c r="AE22" s="36">
        <f t="shared" si="11"/>
        <v>0</v>
      </c>
      <c r="AF22" s="36">
        <f t="shared" si="11"/>
        <v>0</v>
      </c>
      <c r="AG22" s="36">
        <f t="shared" si="11"/>
        <v>0</v>
      </c>
      <c r="AH22" s="36">
        <f t="shared" si="11"/>
        <v>0</v>
      </c>
      <c r="AI22" s="36">
        <f t="shared" si="11"/>
        <v>0</v>
      </c>
      <c r="AJ22" s="36">
        <f t="shared" si="11"/>
        <v>0</v>
      </c>
      <c r="AK22" s="36">
        <f t="shared" si="11"/>
        <v>0</v>
      </c>
      <c r="AL22" s="36">
        <f t="shared" si="11"/>
        <v>0</v>
      </c>
      <c r="AM22" s="36">
        <f t="shared" si="11"/>
        <v>0</v>
      </c>
      <c r="AN22" s="36">
        <f t="shared" si="11"/>
        <v>0</v>
      </c>
      <c r="AO22" s="36">
        <f t="shared" si="11"/>
        <v>0</v>
      </c>
      <c r="AP22" s="36">
        <f t="shared" si="11"/>
        <v>0</v>
      </c>
      <c r="AQ22" s="36">
        <f t="shared" si="11"/>
        <v>0</v>
      </c>
      <c r="AR22" s="36">
        <f t="shared" si="11"/>
        <v>0</v>
      </c>
      <c r="AS22" s="36">
        <f t="shared" si="11"/>
        <v>0</v>
      </c>
      <c r="AT22" s="36">
        <f t="shared" si="11"/>
        <v>0</v>
      </c>
      <c r="AU22" s="36">
        <f t="shared" si="11"/>
        <v>0</v>
      </c>
      <c r="AV22" s="36">
        <f t="shared" si="11"/>
        <v>0</v>
      </c>
      <c r="AW22" s="36">
        <f t="shared" si="11"/>
        <v>0</v>
      </c>
      <c r="AX22" s="36">
        <f t="shared" si="11"/>
        <v>0</v>
      </c>
      <c r="AY22" s="36">
        <f t="shared" si="11"/>
        <v>0</v>
      </c>
      <c r="AZ22" s="36">
        <f t="shared" si="11"/>
        <v>0</v>
      </c>
      <c r="BA22" s="36">
        <f t="shared" si="11"/>
        <v>0</v>
      </c>
      <c r="BB22" s="36"/>
      <c r="BC22" s="31"/>
    </row>
    <row r="23" spans="1:55" ht="15" customHeight="1" thickTop="1" x14ac:dyDescent="0.35">
      <c r="A23" s="30"/>
      <c r="B23" s="30"/>
      <c r="C23" s="30"/>
      <c r="D23" s="30"/>
      <c r="E23" s="31"/>
      <c r="F23" s="31"/>
      <c r="G23" s="31"/>
      <c r="H23" s="31"/>
      <c r="I23" s="31"/>
      <c r="J23" s="31"/>
      <c r="K23" s="31"/>
      <c r="L23" s="31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1"/>
    </row>
    <row r="24" spans="1:55" x14ac:dyDescent="0.35">
      <c r="A24" s="30"/>
      <c r="B24" s="30"/>
      <c r="C24" s="30"/>
      <c r="D24" s="30"/>
      <c r="E24" s="31"/>
      <c r="F24" s="31"/>
      <c r="G24" s="31"/>
      <c r="H24" s="31"/>
      <c r="I24" s="31"/>
      <c r="J24" s="31"/>
      <c r="K24" s="31"/>
      <c r="L24" s="31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1"/>
    </row>
    <row r="25" spans="1:55" x14ac:dyDescent="0.35">
      <c r="A25" s="30"/>
      <c r="B25" s="30"/>
      <c r="C25" s="30"/>
      <c r="D25" s="30"/>
      <c r="E25" s="31"/>
      <c r="F25" s="31"/>
      <c r="G25" s="30"/>
      <c r="H25" s="31"/>
      <c r="I25" s="31"/>
      <c r="J25" s="31"/>
      <c r="K25" s="31"/>
      <c r="L25" s="31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</row>
    <row r="26" spans="1:55" s="5" customFormat="1" x14ac:dyDescent="0.35">
      <c r="A26" s="63" t="s">
        <v>57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30"/>
      <c r="AT26" s="30"/>
      <c r="AU26" s="30"/>
      <c r="AV26" s="30"/>
      <c r="AW26" s="30"/>
      <c r="AX26" s="30"/>
      <c r="AY26" s="30"/>
      <c r="AZ26" s="30"/>
      <c r="BA26" s="30"/>
      <c r="BB26" s="31"/>
      <c r="BC26" s="33"/>
    </row>
    <row r="27" spans="1:55" x14ac:dyDescent="0.35">
      <c r="A27" s="32" t="s">
        <v>58</v>
      </c>
      <c r="B27" s="32" t="s">
        <v>59</v>
      </c>
      <c r="C27" s="32" t="s">
        <v>60</v>
      </c>
      <c r="D27" s="32" t="s">
        <v>62</v>
      </c>
      <c r="E27" s="51" t="s">
        <v>127</v>
      </c>
      <c r="F27" s="51" t="s">
        <v>128</v>
      </c>
      <c r="G27" s="51" t="s">
        <v>129</v>
      </c>
      <c r="H27" s="51" t="s">
        <v>130</v>
      </c>
      <c r="I27" s="51" t="s">
        <v>131</v>
      </c>
      <c r="J27" s="51" t="s">
        <v>132</v>
      </c>
      <c r="K27" s="51" t="s">
        <v>133</v>
      </c>
      <c r="L27" s="51" t="s">
        <v>134</v>
      </c>
      <c r="M27" s="51" t="s">
        <v>135</v>
      </c>
      <c r="N27" s="51" t="s">
        <v>136</v>
      </c>
      <c r="O27" s="51" t="s">
        <v>137</v>
      </c>
      <c r="P27" s="51" t="s">
        <v>138</v>
      </c>
      <c r="Q27" s="51" t="s">
        <v>37</v>
      </c>
      <c r="R27" s="51" t="s">
        <v>139</v>
      </c>
      <c r="S27" s="51" t="s">
        <v>140</v>
      </c>
      <c r="T27" s="51" t="s">
        <v>141</v>
      </c>
      <c r="U27" s="51" t="s">
        <v>142</v>
      </c>
      <c r="V27" s="51" t="s">
        <v>143</v>
      </c>
      <c r="W27" s="51" t="s">
        <v>144</v>
      </c>
      <c r="X27" s="51" t="s">
        <v>145</v>
      </c>
      <c r="Y27" s="51" t="s">
        <v>146</v>
      </c>
      <c r="Z27" s="51" t="s">
        <v>147</v>
      </c>
      <c r="AA27" s="51" t="s">
        <v>148</v>
      </c>
      <c r="AB27" s="51" t="s">
        <v>149</v>
      </c>
      <c r="AC27" s="51" t="s">
        <v>150</v>
      </c>
      <c r="AD27" s="51" t="s">
        <v>38</v>
      </c>
      <c r="AE27" s="51" t="s">
        <v>151</v>
      </c>
      <c r="AF27" s="51" t="s">
        <v>152</v>
      </c>
      <c r="AG27" s="51" t="s">
        <v>153</v>
      </c>
      <c r="AH27" s="51" t="s">
        <v>154</v>
      </c>
      <c r="AI27" s="51" t="s">
        <v>155</v>
      </c>
      <c r="AJ27" s="51" t="s">
        <v>156</v>
      </c>
      <c r="AK27" s="51" t="s">
        <v>157</v>
      </c>
      <c r="AL27" s="51" t="s">
        <v>158</v>
      </c>
      <c r="AM27" s="51" t="s">
        <v>159</v>
      </c>
      <c r="AN27" s="51" t="s">
        <v>160</v>
      </c>
      <c r="AO27" s="51" t="s">
        <v>161</v>
      </c>
      <c r="AP27" s="51" t="s">
        <v>162</v>
      </c>
      <c r="AQ27" s="51" t="s">
        <v>39</v>
      </c>
      <c r="AR27" s="32" t="s">
        <v>51</v>
      </c>
      <c r="AS27" s="59"/>
      <c r="AT27" s="59"/>
      <c r="AU27" s="59"/>
      <c r="AV27" s="59"/>
      <c r="AW27" s="59"/>
      <c r="AX27" s="59"/>
      <c r="AY27" s="59"/>
      <c r="AZ27" s="59"/>
      <c r="BA27" s="33"/>
      <c r="BB27" s="33"/>
      <c r="BC27" s="30"/>
    </row>
    <row r="28" spans="1:55" x14ac:dyDescent="0.35">
      <c r="A28" s="69"/>
      <c r="B28" s="69"/>
      <c r="C28" s="69"/>
      <c r="D28" s="69"/>
      <c r="E28" s="71" t="str">
        <f t="shared" ref="E28:P42" si="12">IF(COUNTA($A28:$D28)&gt;0,IFERROR($D28/12,0),"")</f>
        <v/>
      </c>
      <c r="F28" s="69" t="str">
        <f t="shared" si="12"/>
        <v/>
      </c>
      <c r="G28" s="69" t="str">
        <f t="shared" si="12"/>
        <v/>
      </c>
      <c r="H28" s="69" t="str">
        <f t="shared" si="12"/>
        <v/>
      </c>
      <c r="I28" s="73" t="str">
        <f t="shared" si="12"/>
        <v/>
      </c>
      <c r="J28" s="73" t="str">
        <f t="shared" si="12"/>
        <v/>
      </c>
      <c r="K28" s="73" t="str">
        <f t="shared" si="12"/>
        <v/>
      </c>
      <c r="L28" s="69" t="str">
        <f t="shared" si="12"/>
        <v/>
      </c>
      <c r="M28" s="69" t="str">
        <f t="shared" si="12"/>
        <v/>
      </c>
      <c r="N28" s="69" t="str">
        <f t="shared" si="12"/>
        <v/>
      </c>
      <c r="O28" s="69" t="str">
        <f t="shared" si="12"/>
        <v/>
      </c>
      <c r="P28" s="69" t="str">
        <f t="shared" si="12"/>
        <v/>
      </c>
      <c r="Q28" s="34">
        <f>SUM(tblNonPayrollIncrementalSpend3[[#This Row],[Jan-27]:[Dec-27]])</f>
        <v>0</v>
      </c>
      <c r="R28" s="69" t="str">
        <f t="shared" ref="R28:AC42" si="13">IF(COUNTA($A28:$D28)&gt;0,IFERROR($D28/12,0),"")</f>
        <v/>
      </c>
      <c r="S28" s="69" t="str">
        <f t="shared" si="13"/>
        <v/>
      </c>
      <c r="T28" s="69" t="str">
        <f t="shared" si="13"/>
        <v/>
      </c>
      <c r="U28" s="69" t="str">
        <f t="shared" si="13"/>
        <v/>
      </c>
      <c r="V28" s="69" t="str">
        <f t="shared" si="13"/>
        <v/>
      </c>
      <c r="W28" s="69" t="str">
        <f t="shared" si="13"/>
        <v/>
      </c>
      <c r="X28" s="69" t="str">
        <f t="shared" si="13"/>
        <v/>
      </c>
      <c r="Y28" s="69" t="str">
        <f t="shared" si="13"/>
        <v/>
      </c>
      <c r="Z28" s="69" t="str">
        <f t="shared" si="13"/>
        <v/>
      </c>
      <c r="AA28" s="69" t="str">
        <f t="shared" si="13"/>
        <v/>
      </c>
      <c r="AB28" s="69" t="str">
        <f t="shared" si="13"/>
        <v/>
      </c>
      <c r="AC28" s="69" t="str">
        <f t="shared" si="13"/>
        <v/>
      </c>
      <c r="AD28" s="34">
        <f>SUM(tblNonPayrollIncrementalSpend3[[#This Row],[Jan-27]:[Dec-27]])</f>
        <v>0</v>
      </c>
      <c r="AE28" s="69" t="str">
        <f t="shared" ref="AE28:AP42" si="14">IF(COUNTA($A28:$D28)&gt;0,IFERROR($D28/12,0),"")</f>
        <v/>
      </c>
      <c r="AF28" s="69" t="str">
        <f t="shared" si="14"/>
        <v/>
      </c>
      <c r="AG28" s="69" t="str">
        <f t="shared" si="14"/>
        <v/>
      </c>
      <c r="AH28" s="69" t="str">
        <f t="shared" si="14"/>
        <v/>
      </c>
      <c r="AI28" s="69" t="str">
        <f t="shared" si="14"/>
        <v/>
      </c>
      <c r="AJ28" s="69" t="str">
        <f t="shared" si="14"/>
        <v/>
      </c>
      <c r="AK28" s="69" t="str">
        <f t="shared" si="14"/>
        <v/>
      </c>
      <c r="AL28" s="69" t="str">
        <f t="shared" si="14"/>
        <v/>
      </c>
      <c r="AM28" s="69" t="str">
        <f t="shared" si="14"/>
        <v/>
      </c>
      <c r="AN28" s="69" t="str">
        <f t="shared" si="14"/>
        <v/>
      </c>
      <c r="AO28" s="69" t="str">
        <f t="shared" si="14"/>
        <v/>
      </c>
      <c r="AP28" s="69" t="str">
        <f t="shared" si="14"/>
        <v/>
      </c>
      <c r="AQ28" s="34">
        <f>SUM(tblNonPayrollIncrementalSpend3[[#This Row],[Jan-27]:[Dec-27]])</f>
        <v>0</v>
      </c>
      <c r="AR28" s="69"/>
      <c r="AS28" s="34"/>
      <c r="AT28" s="34"/>
      <c r="AU28" s="34"/>
      <c r="AV28" s="34"/>
      <c r="AW28" s="34"/>
      <c r="AX28" s="34"/>
      <c r="AY28" s="34"/>
      <c r="AZ28" s="34"/>
      <c r="BA28" s="30"/>
      <c r="BB28" s="31"/>
      <c r="BC28" s="30"/>
    </row>
    <row r="29" spans="1:55" x14ac:dyDescent="0.35">
      <c r="A29" s="69"/>
      <c r="B29" s="69"/>
      <c r="C29" s="69"/>
      <c r="D29" s="69"/>
      <c r="E29" s="71" t="str">
        <f t="shared" si="12"/>
        <v/>
      </c>
      <c r="F29" s="69" t="str">
        <f t="shared" si="12"/>
        <v/>
      </c>
      <c r="G29" s="69" t="str">
        <f t="shared" si="12"/>
        <v/>
      </c>
      <c r="H29" s="69" t="str">
        <f t="shared" si="12"/>
        <v/>
      </c>
      <c r="I29" s="73" t="str">
        <f t="shared" si="12"/>
        <v/>
      </c>
      <c r="J29" s="73" t="str">
        <f t="shared" si="12"/>
        <v/>
      </c>
      <c r="K29" s="73" t="str">
        <f t="shared" si="12"/>
        <v/>
      </c>
      <c r="L29" s="69" t="str">
        <f t="shared" si="12"/>
        <v/>
      </c>
      <c r="M29" s="69" t="str">
        <f t="shared" si="12"/>
        <v/>
      </c>
      <c r="N29" s="69" t="str">
        <f t="shared" si="12"/>
        <v/>
      </c>
      <c r="O29" s="69" t="str">
        <f t="shared" si="12"/>
        <v/>
      </c>
      <c r="P29" s="69" t="str">
        <f t="shared" si="12"/>
        <v/>
      </c>
      <c r="Q29" s="34">
        <f>SUM(tblNonPayrollIncrementalSpend3[[#This Row],[Jan-27]:[Dec-27]])</f>
        <v>0</v>
      </c>
      <c r="R29" s="69" t="str">
        <f t="shared" si="13"/>
        <v/>
      </c>
      <c r="S29" s="69" t="str">
        <f t="shared" si="13"/>
        <v/>
      </c>
      <c r="T29" s="69" t="str">
        <f t="shared" si="13"/>
        <v/>
      </c>
      <c r="U29" s="69" t="str">
        <f t="shared" si="13"/>
        <v/>
      </c>
      <c r="V29" s="69" t="str">
        <f t="shared" si="13"/>
        <v/>
      </c>
      <c r="W29" s="69" t="str">
        <f t="shared" si="13"/>
        <v/>
      </c>
      <c r="X29" s="69" t="str">
        <f t="shared" si="13"/>
        <v/>
      </c>
      <c r="Y29" s="69" t="str">
        <f t="shared" si="13"/>
        <v/>
      </c>
      <c r="Z29" s="69" t="str">
        <f t="shared" si="13"/>
        <v/>
      </c>
      <c r="AA29" s="69" t="str">
        <f t="shared" si="13"/>
        <v/>
      </c>
      <c r="AB29" s="69" t="str">
        <f t="shared" si="13"/>
        <v/>
      </c>
      <c r="AC29" s="69" t="str">
        <f t="shared" si="13"/>
        <v/>
      </c>
      <c r="AD29" s="34">
        <f>SUM(tblNonPayrollIncrementalSpend3[[#This Row],[Jan-27]:[Dec-27]])</f>
        <v>0</v>
      </c>
      <c r="AE29" s="69" t="str">
        <f t="shared" si="14"/>
        <v/>
      </c>
      <c r="AF29" s="69" t="str">
        <f t="shared" si="14"/>
        <v/>
      </c>
      <c r="AG29" s="69" t="str">
        <f t="shared" si="14"/>
        <v/>
      </c>
      <c r="AH29" s="69" t="str">
        <f t="shared" si="14"/>
        <v/>
      </c>
      <c r="AI29" s="69" t="str">
        <f t="shared" si="14"/>
        <v/>
      </c>
      <c r="AJ29" s="69" t="str">
        <f t="shared" si="14"/>
        <v/>
      </c>
      <c r="AK29" s="69" t="str">
        <f t="shared" si="14"/>
        <v/>
      </c>
      <c r="AL29" s="69" t="str">
        <f t="shared" si="14"/>
        <v/>
      </c>
      <c r="AM29" s="69" t="str">
        <f t="shared" si="14"/>
        <v/>
      </c>
      <c r="AN29" s="69" t="str">
        <f t="shared" si="14"/>
        <v/>
      </c>
      <c r="AO29" s="69" t="str">
        <f t="shared" si="14"/>
        <v/>
      </c>
      <c r="AP29" s="69" t="str">
        <f t="shared" si="14"/>
        <v/>
      </c>
      <c r="AQ29" s="34">
        <f>SUM(tblNonPayrollIncrementalSpend3[[#This Row],[Jan-27]:[Dec-27]])</f>
        <v>0</v>
      </c>
      <c r="AR29" s="69"/>
      <c r="AS29" s="34"/>
      <c r="AT29" s="34"/>
      <c r="AU29" s="34"/>
      <c r="AV29" s="34"/>
      <c r="AW29" s="34"/>
      <c r="AX29" s="34"/>
      <c r="AY29" s="34"/>
      <c r="AZ29" s="34"/>
      <c r="BA29" s="30"/>
      <c r="BB29" s="31"/>
      <c r="BC29" s="30"/>
    </row>
    <row r="30" spans="1:55" x14ac:dyDescent="0.35">
      <c r="A30" s="69"/>
      <c r="B30" s="69"/>
      <c r="C30" s="69"/>
      <c r="D30" s="69"/>
      <c r="E30" s="71" t="str">
        <f t="shared" si="12"/>
        <v/>
      </c>
      <c r="F30" s="69" t="str">
        <f t="shared" si="12"/>
        <v/>
      </c>
      <c r="G30" s="69" t="str">
        <f t="shared" si="12"/>
        <v/>
      </c>
      <c r="H30" s="69" t="str">
        <f t="shared" si="12"/>
        <v/>
      </c>
      <c r="I30" s="73" t="str">
        <f t="shared" si="12"/>
        <v/>
      </c>
      <c r="J30" s="73" t="str">
        <f t="shared" si="12"/>
        <v/>
      </c>
      <c r="K30" s="73" t="str">
        <f t="shared" si="12"/>
        <v/>
      </c>
      <c r="L30" s="69" t="str">
        <f t="shared" si="12"/>
        <v/>
      </c>
      <c r="M30" s="69" t="str">
        <f t="shared" si="12"/>
        <v/>
      </c>
      <c r="N30" s="69" t="str">
        <f t="shared" si="12"/>
        <v/>
      </c>
      <c r="O30" s="69" t="str">
        <f t="shared" si="12"/>
        <v/>
      </c>
      <c r="P30" s="69" t="str">
        <f t="shared" si="12"/>
        <v/>
      </c>
      <c r="Q30" s="34">
        <f>SUM(tblNonPayrollIncrementalSpend3[[#This Row],[Jan-27]:[Dec-27]])</f>
        <v>0</v>
      </c>
      <c r="R30" s="69" t="str">
        <f t="shared" si="13"/>
        <v/>
      </c>
      <c r="S30" s="69" t="str">
        <f t="shared" si="13"/>
        <v/>
      </c>
      <c r="T30" s="69" t="str">
        <f t="shared" si="13"/>
        <v/>
      </c>
      <c r="U30" s="69" t="str">
        <f t="shared" si="13"/>
        <v/>
      </c>
      <c r="V30" s="69" t="str">
        <f t="shared" si="13"/>
        <v/>
      </c>
      <c r="W30" s="69" t="str">
        <f t="shared" si="13"/>
        <v/>
      </c>
      <c r="X30" s="69" t="str">
        <f t="shared" si="13"/>
        <v/>
      </c>
      <c r="Y30" s="69" t="str">
        <f t="shared" si="13"/>
        <v/>
      </c>
      <c r="Z30" s="69" t="str">
        <f t="shared" si="13"/>
        <v/>
      </c>
      <c r="AA30" s="69" t="str">
        <f t="shared" si="13"/>
        <v/>
      </c>
      <c r="AB30" s="69" t="str">
        <f t="shared" si="13"/>
        <v/>
      </c>
      <c r="AC30" s="69" t="str">
        <f t="shared" si="13"/>
        <v/>
      </c>
      <c r="AD30" s="34">
        <f>SUM(tblNonPayrollIncrementalSpend3[[#This Row],[Jan-27]:[Dec-27]])</f>
        <v>0</v>
      </c>
      <c r="AE30" s="69" t="str">
        <f t="shared" si="14"/>
        <v/>
      </c>
      <c r="AF30" s="69" t="str">
        <f t="shared" si="14"/>
        <v/>
      </c>
      <c r="AG30" s="69" t="str">
        <f t="shared" si="14"/>
        <v/>
      </c>
      <c r="AH30" s="69" t="str">
        <f t="shared" si="14"/>
        <v/>
      </c>
      <c r="AI30" s="69" t="str">
        <f t="shared" si="14"/>
        <v/>
      </c>
      <c r="AJ30" s="69" t="str">
        <f t="shared" si="14"/>
        <v/>
      </c>
      <c r="AK30" s="69" t="str">
        <f t="shared" si="14"/>
        <v/>
      </c>
      <c r="AL30" s="69" t="str">
        <f t="shared" si="14"/>
        <v/>
      </c>
      <c r="AM30" s="69" t="str">
        <f t="shared" si="14"/>
        <v/>
      </c>
      <c r="AN30" s="69" t="str">
        <f t="shared" si="14"/>
        <v/>
      </c>
      <c r="AO30" s="69" t="str">
        <f t="shared" si="14"/>
        <v/>
      </c>
      <c r="AP30" s="69" t="str">
        <f t="shared" si="14"/>
        <v/>
      </c>
      <c r="AQ30" s="34">
        <f>SUM(tblNonPayrollIncrementalSpend3[[#This Row],[Jan-27]:[Dec-27]])</f>
        <v>0</v>
      </c>
      <c r="AR30" s="69"/>
      <c r="AS30" s="34"/>
      <c r="AT30" s="34"/>
      <c r="AU30" s="34"/>
      <c r="AV30" s="34"/>
      <c r="AW30" s="34"/>
      <c r="AX30" s="34"/>
      <c r="AY30" s="34"/>
      <c r="AZ30" s="34"/>
      <c r="BA30" s="30"/>
      <c r="BB30" s="31"/>
      <c r="BC30" s="30"/>
    </row>
    <row r="31" spans="1:55" x14ac:dyDescent="0.35">
      <c r="A31" s="69"/>
      <c r="B31" s="69"/>
      <c r="C31" s="69"/>
      <c r="D31" s="69"/>
      <c r="E31" s="71" t="str">
        <f t="shared" si="12"/>
        <v/>
      </c>
      <c r="F31" s="69" t="str">
        <f t="shared" si="12"/>
        <v/>
      </c>
      <c r="G31" s="69" t="str">
        <f t="shared" si="12"/>
        <v/>
      </c>
      <c r="H31" s="69" t="str">
        <f t="shared" si="12"/>
        <v/>
      </c>
      <c r="I31" s="73" t="str">
        <f t="shared" si="12"/>
        <v/>
      </c>
      <c r="J31" s="73" t="str">
        <f t="shared" si="12"/>
        <v/>
      </c>
      <c r="K31" s="73" t="str">
        <f t="shared" si="12"/>
        <v/>
      </c>
      <c r="L31" s="69" t="str">
        <f t="shared" si="12"/>
        <v/>
      </c>
      <c r="M31" s="69" t="str">
        <f t="shared" si="12"/>
        <v/>
      </c>
      <c r="N31" s="69" t="str">
        <f t="shared" si="12"/>
        <v/>
      </c>
      <c r="O31" s="69" t="str">
        <f t="shared" si="12"/>
        <v/>
      </c>
      <c r="P31" s="69" t="str">
        <f t="shared" si="12"/>
        <v/>
      </c>
      <c r="Q31" s="34">
        <f>SUM(tblNonPayrollIncrementalSpend3[[#This Row],[Jan-27]:[Dec-27]])</f>
        <v>0</v>
      </c>
      <c r="R31" s="69" t="str">
        <f t="shared" si="13"/>
        <v/>
      </c>
      <c r="S31" s="69" t="str">
        <f t="shared" si="13"/>
        <v/>
      </c>
      <c r="T31" s="69" t="str">
        <f t="shared" si="13"/>
        <v/>
      </c>
      <c r="U31" s="69" t="str">
        <f t="shared" si="13"/>
        <v/>
      </c>
      <c r="V31" s="69" t="str">
        <f t="shared" si="13"/>
        <v/>
      </c>
      <c r="W31" s="69" t="str">
        <f t="shared" si="13"/>
        <v/>
      </c>
      <c r="X31" s="69" t="str">
        <f t="shared" si="13"/>
        <v/>
      </c>
      <c r="Y31" s="69" t="str">
        <f t="shared" si="13"/>
        <v/>
      </c>
      <c r="Z31" s="69" t="str">
        <f t="shared" si="13"/>
        <v/>
      </c>
      <c r="AA31" s="69" t="str">
        <f t="shared" si="13"/>
        <v/>
      </c>
      <c r="AB31" s="69" t="str">
        <f t="shared" si="13"/>
        <v/>
      </c>
      <c r="AC31" s="69" t="str">
        <f t="shared" si="13"/>
        <v/>
      </c>
      <c r="AD31" s="34">
        <f>SUM(tblNonPayrollIncrementalSpend3[[#This Row],[Jan-27]:[Dec-27]])</f>
        <v>0</v>
      </c>
      <c r="AE31" s="69" t="str">
        <f t="shared" si="14"/>
        <v/>
      </c>
      <c r="AF31" s="69" t="str">
        <f t="shared" si="14"/>
        <v/>
      </c>
      <c r="AG31" s="69" t="str">
        <f t="shared" si="14"/>
        <v/>
      </c>
      <c r="AH31" s="69" t="str">
        <f t="shared" si="14"/>
        <v/>
      </c>
      <c r="AI31" s="69" t="str">
        <f t="shared" si="14"/>
        <v/>
      </c>
      <c r="AJ31" s="69" t="str">
        <f t="shared" si="14"/>
        <v/>
      </c>
      <c r="AK31" s="69" t="str">
        <f t="shared" si="14"/>
        <v/>
      </c>
      <c r="AL31" s="69" t="str">
        <f t="shared" si="14"/>
        <v/>
      </c>
      <c r="AM31" s="69" t="str">
        <f t="shared" si="14"/>
        <v/>
      </c>
      <c r="AN31" s="69" t="str">
        <f t="shared" si="14"/>
        <v/>
      </c>
      <c r="AO31" s="69" t="str">
        <f t="shared" si="14"/>
        <v/>
      </c>
      <c r="AP31" s="69" t="str">
        <f t="shared" si="14"/>
        <v/>
      </c>
      <c r="AQ31" s="34">
        <f>SUM(tblNonPayrollIncrementalSpend3[[#This Row],[Jan-27]:[Dec-27]])</f>
        <v>0</v>
      </c>
      <c r="AR31" s="69"/>
      <c r="AS31" s="34"/>
      <c r="AT31" s="34"/>
      <c r="AU31" s="34"/>
      <c r="AV31" s="34"/>
      <c r="AW31" s="34"/>
      <c r="AX31" s="34"/>
      <c r="AY31" s="34"/>
      <c r="AZ31" s="34"/>
      <c r="BA31" s="30"/>
      <c r="BB31" s="31"/>
      <c r="BC31" s="30"/>
    </row>
    <row r="32" spans="1:55" x14ac:dyDescent="0.35">
      <c r="A32" s="69"/>
      <c r="B32" s="69"/>
      <c r="C32" s="69"/>
      <c r="D32" s="69"/>
      <c r="E32" s="71" t="str">
        <f t="shared" si="12"/>
        <v/>
      </c>
      <c r="F32" s="69" t="str">
        <f t="shared" si="12"/>
        <v/>
      </c>
      <c r="G32" s="69" t="str">
        <f t="shared" si="12"/>
        <v/>
      </c>
      <c r="H32" s="69" t="str">
        <f t="shared" si="12"/>
        <v/>
      </c>
      <c r="I32" s="73" t="str">
        <f t="shared" si="12"/>
        <v/>
      </c>
      <c r="J32" s="73" t="str">
        <f t="shared" si="12"/>
        <v/>
      </c>
      <c r="K32" s="73" t="str">
        <f t="shared" si="12"/>
        <v/>
      </c>
      <c r="L32" s="69" t="str">
        <f t="shared" si="12"/>
        <v/>
      </c>
      <c r="M32" s="69" t="str">
        <f t="shared" si="12"/>
        <v/>
      </c>
      <c r="N32" s="69" t="str">
        <f t="shared" si="12"/>
        <v/>
      </c>
      <c r="O32" s="69" t="str">
        <f t="shared" si="12"/>
        <v/>
      </c>
      <c r="P32" s="69" t="str">
        <f t="shared" si="12"/>
        <v/>
      </c>
      <c r="Q32" s="34">
        <f>SUM(tblNonPayrollIncrementalSpend3[[#This Row],[Jan-27]:[Dec-27]])</f>
        <v>0</v>
      </c>
      <c r="R32" s="69" t="str">
        <f t="shared" si="13"/>
        <v/>
      </c>
      <c r="S32" s="69" t="str">
        <f t="shared" si="13"/>
        <v/>
      </c>
      <c r="T32" s="69" t="str">
        <f t="shared" si="13"/>
        <v/>
      </c>
      <c r="U32" s="69" t="str">
        <f t="shared" si="13"/>
        <v/>
      </c>
      <c r="V32" s="69" t="str">
        <f t="shared" si="13"/>
        <v/>
      </c>
      <c r="W32" s="69" t="str">
        <f t="shared" si="13"/>
        <v/>
      </c>
      <c r="X32" s="69" t="str">
        <f t="shared" si="13"/>
        <v/>
      </c>
      <c r="Y32" s="69" t="str">
        <f t="shared" si="13"/>
        <v/>
      </c>
      <c r="Z32" s="69" t="str">
        <f t="shared" si="13"/>
        <v/>
      </c>
      <c r="AA32" s="69" t="str">
        <f t="shared" si="13"/>
        <v/>
      </c>
      <c r="AB32" s="69" t="str">
        <f t="shared" si="13"/>
        <v/>
      </c>
      <c r="AC32" s="69" t="str">
        <f t="shared" si="13"/>
        <v/>
      </c>
      <c r="AD32" s="34">
        <f>SUM(tblNonPayrollIncrementalSpend3[[#This Row],[Jan-27]:[Dec-27]])</f>
        <v>0</v>
      </c>
      <c r="AE32" s="69" t="str">
        <f t="shared" si="14"/>
        <v/>
      </c>
      <c r="AF32" s="69" t="str">
        <f t="shared" si="14"/>
        <v/>
      </c>
      <c r="AG32" s="69" t="str">
        <f t="shared" si="14"/>
        <v/>
      </c>
      <c r="AH32" s="69" t="str">
        <f t="shared" si="14"/>
        <v/>
      </c>
      <c r="AI32" s="69" t="str">
        <f t="shared" si="14"/>
        <v/>
      </c>
      <c r="AJ32" s="69" t="str">
        <f t="shared" si="14"/>
        <v/>
      </c>
      <c r="AK32" s="69" t="str">
        <f t="shared" si="14"/>
        <v/>
      </c>
      <c r="AL32" s="69" t="str">
        <f t="shared" si="14"/>
        <v/>
      </c>
      <c r="AM32" s="69" t="str">
        <f t="shared" si="14"/>
        <v/>
      </c>
      <c r="AN32" s="69" t="str">
        <f t="shared" si="14"/>
        <v/>
      </c>
      <c r="AO32" s="69" t="str">
        <f t="shared" si="14"/>
        <v/>
      </c>
      <c r="AP32" s="69" t="str">
        <f t="shared" si="14"/>
        <v/>
      </c>
      <c r="AQ32" s="34">
        <f>SUM(tblNonPayrollIncrementalSpend3[[#This Row],[Jan-27]:[Dec-27]])</f>
        <v>0</v>
      </c>
      <c r="AR32" s="69"/>
      <c r="AS32" s="34"/>
      <c r="AT32" s="34"/>
      <c r="AU32" s="34"/>
      <c r="AV32" s="34"/>
      <c r="AW32" s="34"/>
      <c r="AX32" s="34"/>
      <c r="AY32" s="34"/>
      <c r="AZ32" s="34"/>
      <c r="BA32" s="30"/>
      <c r="BB32" s="31"/>
      <c r="BC32" s="30"/>
    </row>
    <row r="33" spans="1:55" x14ac:dyDescent="0.35">
      <c r="A33" s="69"/>
      <c r="B33" s="69"/>
      <c r="C33" s="69"/>
      <c r="D33" s="69"/>
      <c r="E33" s="71" t="str">
        <f t="shared" si="12"/>
        <v/>
      </c>
      <c r="F33" s="69" t="str">
        <f t="shared" si="12"/>
        <v/>
      </c>
      <c r="G33" s="69" t="str">
        <f t="shared" si="12"/>
        <v/>
      </c>
      <c r="H33" s="69" t="str">
        <f t="shared" si="12"/>
        <v/>
      </c>
      <c r="I33" s="73" t="str">
        <f t="shared" si="12"/>
        <v/>
      </c>
      <c r="J33" s="73" t="str">
        <f t="shared" si="12"/>
        <v/>
      </c>
      <c r="K33" s="73" t="str">
        <f t="shared" si="12"/>
        <v/>
      </c>
      <c r="L33" s="69" t="str">
        <f t="shared" si="12"/>
        <v/>
      </c>
      <c r="M33" s="69" t="str">
        <f t="shared" si="12"/>
        <v/>
      </c>
      <c r="N33" s="69" t="str">
        <f t="shared" si="12"/>
        <v/>
      </c>
      <c r="O33" s="69" t="str">
        <f t="shared" si="12"/>
        <v/>
      </c>
      <c r="P33" s="69" t="str">
        <f t="shared" si="12"/>
        <v/>
      </c>
      <c r="Q33" s="34">
        <f>SUM(tblNonPayrollIncrementalSpend3[[#This Row],[Jan-27]:[Dec-27]])</f>
        <v>0</v>
      </c>
      <c r="R33" s="69" t="str">
        <f t="shared" si="13"/>
        <v/>
      </c>
      <c r="S33" s="69" t="str">
        <f t="shared" si="13"/>
        <v/>
      </c>
      <c r="T33" s="69" t="str">
        <f t="shared" si="13"/>
        <v/>
      </c>
      <c r="U33" s="69" t="str">
        <f t="shared" si="13"/>
        <v/>
      </c>
      <c r="V33" s="69" t="str">
        <f t="shared" si="13"/>
        <v/>
      </c>
      <c r="W33" s="69" t="str">
        <f t="shared" si="13"/>
        <v/>
      </c>
      <c r="X33" s="69" t="str">
        <f t="shared" si="13"/>
        <v/>
      </c>
      <c r="Y33" s="69" t="str">
        <f t="shared" si="13"/>
        <v/>
      </c>
      <c r="Z33" s="69" t="str">
        <f t="shared" si="13"/>
        <v/>
      </c>
      <c r="AA33" s="69" t="str">
        <f t="shared" si="13"/>
        <v/>
      </c>
      <c r="AB33" s="69" t="str">
        <f t="shared" si="13"/>
        <v/>
      </c>
      <c r="AC33" s="69" t="str">
        <f t="shared" si="13"/>
        <v/>
      </c>
      <c r="AD33" s="34">
        <f>SUM(tblNonPayrollIncrementalSpend3[[#This Row],[Jan-27]:[Dec-27]])</f>
        <v>0</v>
      </c>
      <c r="AE33" s="69" t="str">
        <f t="shared" si="14"/>
        <v/>
      </c>
      <c r="AF33" s="69" t="str">
        <f t="shared" si="14"/>
        <v/>
      </c>
      <c r="AG33" s="69" t="str">
        <f t="shared" si="14"/>
        <v/>
      </c>
      <c r="AH33" s="69" t="str">
        <f t="shared" si="14"/>
        <v/>
      </c>
      <c r="AI33" s="69" t="str">
        <f t="shared" si="14"/>
        <v/>
      </c>
      <c r="AJ33" s="69" t="str">
        <f t="shared" si="14"/>
        <v/>
      </c>
      <c r="AK33" s="69" t="str">
        <f t="shared" si="14"/>
        <v/>
      </c>
      <c r="AL33" s="69" t="str">
        <f t="shared" si="14"/>
        <v/>
      </c>
      <c r="AM33" s="69" t="str">
        <f t="shared" si="14"/>
        <v/>
      </c>
      <c r="AN33" s="69" t="str">
        <f t="shared" si="14"/>
        <v/>
      </c>
      <c r="AO33" s="69" t="str">
        <f t="shared" si="14"/>
        <v/>
      </c>
      <c r="AP33" s="69" t="str">
        <f t="shared" si="14"/>
        <v/>
      </c>
      <c r="AQ33" s="34">
        <f>SUM(tblNonPayrollIncrementalSpend3[[#This Row],[Jan-27]:[Dec-27]])</f>
        <v>0</v>
      </c>
      <c r="AR33" s="69"/>
      <c r="AS33" s="34"/>
      <c r="AT33" s="34"/>
      <c r="AU33" s="34"/>
      <c r="AV33" s="34"/>
      <c r="AW33" s="34"/>
      <c r="AX33" s="34"/>
      <c r="AY33" s="34"/>
      <c r="AZ33" s="34"/>
      <c r="BA33" s="30"/>
      <c r="BB33" s="31"/>
      <c r="BC33" s="30"/>
    </row>
    <row r="34" spans="1:55" x14ac:dyDescent="0.35">
      <c r="A34" s="69"/>
      <c r="B34" s="69"/>
      <c r="C34" s="69"/>
      <c r="D34" s="69"/>
      <c r="E34" s="71" t="str">
        <f t="shared" si="12"/>
        <v/>
      </c>
      <c r="F34" s="69" t="str">
        <f t="shared" si="12"/>
        <v/>
      </c>
      <c r="G34" s="69" t="str">
        <f t="shared" si="12"/>
        <v/>
      </c>
      <c r="H34" s="69" t="str">
        <f t="shared" si="12"/>
        <v/>
      </c>
      <c r="I34" s="73" t="str">
        <f t="shared" si="12"/>
        <v/>
      </c>
      <c r="J34" s="73" t="str">
        <f t="shared" si="12"/>
        <v/>
      </c>
      <c r="K34" s="73" t="str">
        <f t="shared" si="12"/>
        <v/>
      </c>
      <c r="L34" s="69" t="str">
        <f t="shared" si="12"/>
        <v/>
      </c>
      <c r="M34" s="69" t="str">
        <f t="shared" si="12"/>
        <v/>
      </c>
      <c r="N34" s="69" t="str">
        <f t="shared" si="12"/>
        <v/>
      </c>
      <c r="O34" s="69" t="str">
        <f t="shared" si="12"/>
        <v/>
      </c>
      <c r="P34" s="69" t="str">
        <f t="shared" si="12"/>
        <v/>
      </c>
      <c r="Q34" s="34">
        <f>SUM(tblNonPayrollIncrementalSpend3[[#This Row],[Jan-27]:[Dec-27]])</f>
        <v>0</v>
      </c>
      <c r="R34" s="69" t="str">
        <f t="shared" si="13"/>
        <v/>
      </c>
      <c r="S34" s="69" t="str">
        <f t="shared" si="13"/>
        <v/>
      </c>
      <c r="T34" s="69" t="str">
        <f t="shared" si="13"/>
        <v/>
      </c>
      <c r="U34" s="69" t="str">
        <f t="shared" si="13"/>
        <v/>
      </c>
      <c r="V34" s="69" t="str">
        <f t="shared" si="13"/>
        <v/>
      </c>
      <c r="W34" s="69" t="str">
        <f t="shared" si="13"/>
        <v/>
      </c>
      <c r="X34" s="69" t="str">
        <f t="shared" si="13"/>
        <v/>
      </c>
      <c r="Y34" s="69" t="str">
        <f t="shared" si="13"/>
        <v/>
      </c>
      <c r="Z34" s="69" t="str">
        <f t="shared" si="13"/>
        <v/>
      </c>
      <c r="AA34" s="69" t="str">
        <f t="shared" si="13"/>
        <v/>
      </c>
      <c r="AB34" s="69" t="str">
        <f t="shared" si="13"/>
        <v/>
      </c>
      <c r="AC34" s="69" t="str">
        <f t="shared" si="13"/>
        <v/>
      </c>
      <c r="AD34" s="34">
        <f>SUM(tblNonPayrollIncrementalSpend3[[#This Row],[Jan-27]:[Dec-27]])</f>
        <v>0</v>
      </c>
      <c r="AE34" s="69" t="str">
        <f t="shared" si="14"/>
        <v/>
      </c>
      <c r="AF34" s="69" t="str">
        <f t="shared" si="14"/>
        <v/>
      </c>
      <c r="AG34" s="69" t="str">
        <f t="shared" si="14"/>
        <v/>
      </c>
      <c r="AH34" s="69" t="str">
        <f t="shared" si="14"/>
        <v/>
      </c>
      <c r="AI34" s="69" t="str">
        <f t="shared" si="14"/>
        <v/>
      </c>
      <c r="AJ34" s="69" t="str">
        <f t="shared" si="14"/>
        <v/>
      </c>
      <c r="AK34" s="69" t="str">
        <f t="shared" si="14"/>
        <v/>
      </c>
      <c r="AL34" s="69" t="str">
        <f t="shared" si="14"/>
        <v/>
      </c>
      <c r="AM34" s="69" t="str">
        <f t="shared" si="14"/>
        <v/>
      </c>
      <c r="AN34" s="69" t="str">
        <f t="shared" si="14"/>
        <v/>
      </c>
      <c r="AO34" s="69" t="str">
        <f t="shared" si="14"/>
        <v/>
      </c>
      <c r="AP34" s="69" t="str">
        <f t="shared" si="14"/>
        <v/>
      </c>
      <c r="AQ34" s="34">
        <f>SUM(tblNonPayrollIncrementalSpend3[[#This Row],[Jan-27]:[Dec-27]])</f>
        <v>0</v>
      </c>
      <c r="AR34" s="69"/>
      <c r="AS34" s="34"/>
      <c r="AT34" s="34"/>
      <c r="AU34" s="34"/>
      <c r="AV34" s="34"/>
      <c r="AW34" s="34"/>
      <c r="AX34" s="34"/>
      <c r="AY34" s="34"/>
      <c r="AZ34" s="34"/>
      <c r="BA34" s="30"/>
      <c r="BB34" s="31"/>
      <c r="BC34" s="30"/>
    </row>
    <row r="35" spans="1:55" x14ac:dyDescent="0.35">
      <c r="A35" s="69"/>
      <c r="B35" s="69"/>
      <c r="C35" s="69"/>
      <c r="D35" s="69"/>
      <c r="E35" s="71" t="str">
        <f t="shared" si="12"/>
        <v/>
      </c>
      <c r="F35" s="69" t="str">
        <f t="shared" si="12"/>
        <v/>
      </c>
      <c r="G35" s="69" t="str">
        <f t="shared" si="12"/>
        <v/>
      </c>
      <c r="H35" s="69" t="str">
        <f t="shared" si="12"/>
        <v/>
      </c>
      <c r="I35" s="73" t="str">
        <f t="shared" si="12"/>
        <v/>
      </c>
      <c r="J35" s="73" t="str">
        <f t="shared" si="12"/>
        <v/>
      </c>
      <c r="K35" s="73" t="str">
        <f t="shared" si="12"/>
        <v/>
      </c>
      <c r="L35" s="69" t="str">
        <f t="shared" si="12"/>
        <v/>
      </c>
      <c r="M35" s="69" t="str">
        <f t="shared" si="12"/>
        <v/>
      </c>
      <c r="N35" s="69" t="str">
        <f t="shared" si="12"/>
        <v/>
      </c>
      <c r="O35" s="69" t="str">
        <f t="shared" si="12"/>
        <v/>
      </c>
      <c r="P35" s="69" t="str">
        <f t="shared" si="12"/>
        <v/>
      </c>
      <c r="Q35" s="34">
        <f>SUM(tblNonPayrollIncrementalSpend3[[#This Row],[Jan-27]:[Dec-27]])</f>
        <v>0</v>
      </c>
      <c r="R35" s="69" t="str">
        <f t="shared" si="13"/>
        <v/>
      </c>
      <c r="S35" s="69" t="str">
        <f t="shared" si="13"/>
        <v/>
      </c>
      <c r="T35" s="69" t="str">
        <f t="shared" si="13"/>
        <v/>
      </c>
      <c r="U35" s="69" t="str">
        <f t="shared" si="13"/>
        <v/>
      </c>
      <c r="V35" s="69" t="str">
        <f t="shared" si="13"/>
        <v/>
      </c>
      <c r="W35" s="69" t="str">
        <f t="shared" si="13"/>
        <v/>
      </c>
      <c r="X35" s="69" t="str">
        <f t="shared" si="13"/>
        <v/>
      </c>
      <c r="Y35" s="69" t="str">
        <f t="shared" si="13"/>
        <v/>
      </c>
      <c r="Z35" s="69" t="str">
        <f t="shared" si="13"/>
        <v/>
      </c>
      <c r="AA35" s="69" t="str">
        <f t="shared" si="13"/>
        <v/>
      </c>
      <c r="AB35" s="69" t="str">
        <f t="shared" si="13"/>
        <v/>
      </c>
      <c r="AC35" s="69" t="str">
        <f t="shared" si="13"/>
        <v/>
      </c>
      <c r="AD35" s="34">
        <f>SUM(tblNonPayrollIncrementalSpend3[[#This Row],[Jan-27]:[Dec-27]])</f>
        <v>0</v>
      </c>
      <c r="AE35" s="69" t="str">
        <f t="shared" si="14"/>
        <v/>
      </c>
      <c r="AF35" s="69" t="str">
        <f t="shared" si="14"/>
        <v/>
      </c>
      <c r="AG35" s="69" t="str">
        <f t="shared" si="14"/>
        <v/>
      </c>
      <c r="AH35" s="69" t="str">
        <f t="shared" si="14"/>
        <v/>
      </c>
      <c r="AI35" s="69" t="str">
        <f t="shared" si="14"/>
        <v/>
      </c>
      <c r="AJ35" s="69" t="str">
        <f t="shared" si="14"/>
        <v/>
      </c>
      <c r="AK35" s="69" t="str">
        <f t="shared" si="14"/>
        <v/>
      </c>
      <c r="AL35" s="69" t="str">
        <f t="shared" si="14"/>
        <v/>
      </c>
      <c r="AM35" s="69" t="str">
        <f t="shared" si="14"/>
        <v/>
      </c>
      <c r="AN35" s="69" t="str">
        <f t="shared" si="14"/>
        <v/>
      </c>
      <c r="AO35" s="69" t="str">
        <f t="shared" si="14"/>
        <v/>
      </c>
      <c r="AP35" s="69" t="str">
        <f t="shared" si="14"/>
        <v/>
      </c>
      <c r="AQ35" s="34">
        <f>SUM(tblNonPayrollIncrementalSpend3[[#This Row],[Jan-27]:[Dec-27]])</f>
        <v>0</v>
      </c>
      <c r="AR35" s="69"/>
      <c r="AS35" s="34"/>
      <c r="AT35" s="34"/>
      <c r="AU35" s="34"/>
      <c r="AV35" s="34"/>
      <c r="AW35" s="34"/>
      <c r="AX35" s="34"/>
      <c r="AY35" s="34"/>
      <c r="AZ35" s="34"/>
      <c r="BA35" s="30"/>
      <c r="BB35" s="31"/>
      <c r="BC35" s="30"/>
    </row>
    <row r="36" spans="1:55" x14ac:dyDescent="0.35">
      <c r="A36" s="69"/>
      <c r="B36" s="69"/>
      <c r="C36" s="69"/>
      <c r="D36" s="69"/>
      <c r="E36" s="71" t="str">
        <f t="shared" si="12"/>
        <v/>
      </c>
      <c r="F36" s="69" t="str">
        <f t="shared" si="12"/>
        <v/>
      </c>
      <c r="G36" s="69" t="str">
        <f t="shared" si="12"/>
        <v/>
      </c>
      <c r="H36" s="69" t="str">
        <f t="shared" si="12"/>
        <v/>
      </c>
      <c r="I36" s="73" t="str">
        <f t="shared" si="12"/>
        <v/>
      </c>
      <c r="J36" s="73" t="str">
        <f t="shared" si="12"/>
        <v/>
      </c>
      <c r="K36" s="73" t="str">
        <f t="shared" si="12"/>
        <v/>
      </c>
      <c r="L36" s="69" t="str">
        <f t="shared" si="12"/>
        <v/>
      </c>
      <c r="M36" s="69" t="str">
        <f t="shared" si="12"/>
        <v/>
      </c>
      <c r="N36" s="69" t="str">
        <f t="shared" si="12"/>
        <v/>
      </c>
      <c r="O36" s="69" t="str">
        <f t="shared" si="12"/>
        <v/>
      </c>
      <c r="P36" s="69" t="str">
        <f t="shared" si="12"/>
        <v/>
      </c>
      <c r="Q36" s="34">
        <f>SUM(tblNonPayrollIncrementalSpend3[[#This Row],[Jan-27]:[Dec-27]])</f>
        <v>0</v>
      </c>
      <c r="R36" s="69" t="str">
        <f t="shared" si="13"/>
        <v/>
      </c>
      <c r="S36" s="69" t="str">
        <f t="shared" si="13"/>
        <v/>
      </c>
      <c r="T36" s="69" t="str">
        <f t="shared" si="13"/>
        <v/>
      </c>
      <c r="U36" s="69" t="str">
        <f t="shared" si="13"/>
        <v/>
      </c>
      <c r="V36" s="69" t="str">
        <f t="shared" si="13"/>
        <v/>
      </c>
      <c r="W36" s="69" t="str">
        <f t="shared" si="13"/>
        <v/>
      </c>
      <c r="X36" s="69" t="str">
        <f t="shared" si="13"/>
        <v/>
      </c>
      <c r="Y36" s="69" t="str">
        <f t="shared" si="13"/>
        <v/>
      </c>
      <c r="Z36" s="69" t="str">
        <f t="shared" si="13"/>
        <v/>
      </c>
      <c r="AA36" s="69" t="str">
        <f t="shared" si="13"/>
        <v/>
      </c>
      <c r="AB36" s="69" t="str">
        <f t="shared" si="13"/>
        <v/>
      </c>
      <c r="AC36" s="69" t="str">
        <f t="shared" si="13"/>
        <v/>
      </c>
      <c r="AD36" s="34">
        <f>SUM(tblNonPayrollIncrementalSpend3[[#This Row],[Jan-27]:[Dec-27]])</f>
        <v>0</v>
      </c>
      <c r="AE36" s="69" t="str">
        <f t="shared" si="14"/>
        <v/>
      </c>
      <c r="AF36" s="69" t="str">
        <f t="shared" si="14"/>
        <v/>
      </c>
      <c r="AG36" s="69" t="str">
        <f t="shared" si="14"/>
        <v/>
      </c>
      <c r="AH36" s="69" t="str">
        <f t="shared" si="14"/>
        <v/>
      </c>
      <c r="AI36" s="69" t="str">
        <f t="shared" si="14"/>
        <v/>
      </c>
      <c r="AJ36" s="69" t="str">
        <f t="shared" si="14"/>
        <v/>
      </c>
      <c r="AK36" s="69" t="str">
        <f t="shared" si="14"/>
        <v/>
      </c>
      <c r="AL36" s="69" t="str">
        <f t="shared" si="14"/>
        <v/>
      </c>
      <c r="AM36" s="69" t="str">
        <f t="shared" si="14"/>
        <v/>
      </c>
      <c r="AN36" s="69" t="str">
        <f t="shared" si="14"/>
        <v/>
      </c>
      <c r="AO36" s="69" t="str">
        <f t="shared" si="14"/>
        <v/>
      </c>
      <c r="AP36" s="69" t="str">
        <f t="shared" si="14"/>
        <v/>
      </c>
      <c r="AQ36" s="34">
        <f>SUM(tblNonPayrollIncrementalSpend3[[#This Row],[Jan-27]:[Dec-27]])</f>
        <v>0</v>
      </c>
      <c r="AR36" s="69"/>
      <c r="AS36" s="34"/>
      <c r="AT36" s="34"/>
      <c r="AU36" s="34"/>
      <c r="AV36" s="34"/>
      <c r="AW36" s="34"/>
      <c r="AX36" s="34"/>
      <c r="AY36" s="34"/>
      <c r="AZ36" s="34"/>
      <c r="BA36" s="30"/>
      <c r="BB36" s="31"/>
      <c r="BC36" s="30"/>
    </row>
    <row r="37" spans="1:55" x14ac:dyDescent="0.35">
      <c r="A37" s="69"/>
      <c r="B37" s="69"/>
      <c r="C37" s="69"/>
      <c r="D37" s="69"/>
      <c r="E37" s="71" t="str">
        <f t="shared" si="12"/>
        <v/>
      </c>
      <c r="F37" s="69" t="str">
        <f t="shared" si="12"/>
        <v/>
      </c>
      <c r="G37" s="69" t="str">
        <f t="shared" si="12"/>
        <v/>
      </c>
      <c r="H37" s="69" t="str">
        <f t="shared" si="12"/>
        <v/>
      </c>
      <c r="I37" s="73" t="str">
        <f t="shared" si="12"/>
        <v/>
      </c>
      <c r="J37" s="73" t="str">
        <f t="shared" si="12"/>
        <v/>
      </c>
      <c r="K37" s="73" t="str">
        <f t="shared" si="12"/>
        <v/>
      </c>
      <c r="L37" s="69" t="str">
        <f t="shared" si="12"/>
        <v/>
      </c>
      <c r="M37" s="69" t="str">
        <f t="shared" si="12"/>
        <v/>
      </c>
      <c r="N37" s="69" t="str">
        <f t="shared" si="12"/>
        <v/>
      </c>
      <c r="O37" s="69" t="str">
        <f t="shared" si="12"/>
        <v/>
      </c>
      <c r="P37" s="69" t="str">
        <f t="shared" si="12"/>
        <v/>
      </c>
      <c r="Q37" s="34">
        <f>SUM(tblNonPayrollIncrementalSpend3[[#This Row],[Jan-27]:[Dec-27]])</f>
        <v>0</v>
      </c>
      <c r="R37" s="69" t="str">
        <f t="shared" si="13"/>
        <v/>
      </c>
      <c r="S37" s="69" t="str">
        <f t="shared" si="13"/>
        <v/>
      </c>
      <c r="T37" s="69" t="str">
        <f t="shared" si="13"/>
        <v/>
      </c>
      <c r="U37" s="69" t="str">
        <f t="shared" si="13"/>
        <v/>
      </c>
      <c r="V37" s="69" t="str">
        <f t="shared" si="13"/>
        <v/>
      </c>
      <c r="W37" s="69" t="str">
        <f t="shared" si="13"/>
        <v/>
      </c>
      <c r="X37" s="69" t="str">
        <f t="shared" si="13"/>
        <v/>
      </c>
      <c r="Y37" s="69" t="str">
        <f t="shared" si="13"/>
        <v/>
      </c>
      <c r="Z37" s="69" t="str">
        <f t="shared" si="13"/>
        <v/>
      </c>
      <c r="AA37" s="69" t="str">
        <f t="shared" si="13"/>
        <v/>
      </c>
      <c r="AB37" s="69" t="str">
        <f t="shared" si="13"/>
        <v/>
      </c>
      <c r="AC37" s="69" t="str">
        <f t="shared" si="13"/>
        <v/>
      </c>
      <c r="AD37" s="34">
        <f>SUM(tblNonPayrollIncrementalSpend3[[#This Row],[Jan-27]:[Dec-27]])</f>
        <v>0</v>
      </c>
      <c r="AE37" s="69" t="str">
        <f t="shared" si="14"/>
        <v/>
      </c>
      <c r="AF37" s="69" t="str">
        <f t="shared" si="14"/>
        <v/>
      </c>
      <c r="AG37" s="69" t="str">
        <f t="shared" si="14"/>
        <v/>
      </c>
      <c r="AH37" s="69" t="str">
        <f t="shared" si="14"/>
        <v/>
      </c>
      <c r="AI37" s="69" t="str">
        <f t="shared" si="14"/>
        <v/>
      </c>
      <c r="AJ37" s="69" t="str">
        <f t="shared" si="14"/>
        <v/>
      </c>
      <c r="AK37" s="69" t="str">
        <f t="shared" si="14"/>
        <v/>
      </c>
      <c r="AL37" s="69" t="str">
        <f t="shared" si="14"/>
        <v/>
      </c>
      <c r="AM37" s="69" t="str">
        <f t="shared" si="14"/>
        <v/>
      </c>
      <c r="AN37" s="69" t="str">
        <f t="shared" si="14"/>
        <v/>
      </c>
      <c r="AO37" s="69" t="str">
        <f t="shared" si="14"/>
        <v/>
      </c>
      <c r="AP37" s="69" t="str">
        <f t="shared" si="14"/>
        <v/>
      </c>
      <c r="AQ37" s="34">
        <f>SUM(tblNonPayrollIncrementalSpend3[[#This Row],[Jan-27]:[Dec-27]])</f>
        <v>0</v>
      </c>
      <c r="AR37" s="69"/>
      <c r="AS37" s="34"/>
      <c r="AT37" s="34"/>
      <c r="AU37" s="34"/>
      <c r="AV37" s="34"/>
      <c r="AW37" s="34"/>
      <c r="AX37" s="34"/>
      <c r="AY37" s="34"/>
      <c r="AZ37" s="34"/>
      <c r="BA37" s="30"/>
      <c r="BB37" s="31"/>
      <c r="BC37" s="30"/>
    </row>
    <row r="38" spans="1:55" x14ac:dyDescent="0.35">
      <c r="A38" s="69"/>
      <c r="B38" s="69"/>
      <c r="C38" s="69"/>
      <c r="D38" s="69"/>
      <c r="E38" s="71" t="str">
        <f t="shared" si="12"/>
        <v/>
      </c>
      <c r="F38" s="69" t="str">
        <f t="shared" si="12"/>
        <v/>
      </c>
      <c r="G38" s="69" t="str">
        <f t="shared" si="12"/>
        <v/>
      </c>
      <c r="H38" s="69" t="str">
        <f t="shared" si="12"/>
        <v/>
      </c>
      <c r="I38" s="73" t="str">
        <f t="shared" si="12"/>
        <v/>
      </c>
      <c r="J38" s="73" t="str">
        <f t="shared" si="12"/>
        <v/>
      </c>
      <c r="K38" s="73" t="str">
        <f t="shared" si="12"/>
        <v/>
      </c>
      <c r="L38" s="69" t="str">
        <f t="shared" si="12"/>
        <v/>
      </c>
      <c r="M38" s="69" t="str">
        <f t="shared" si="12"/>
        <v/>
      </c>
      <c r="N38" s="69" t="str">
        <f t="shared" si="12"/>
        <v/>
      </c>
      <c r="O38" s="69" t="str">
        <f t="shared" si="12"/>
        <v/>
      </c>
      <c r="P38" s="69" t="str">
        <f t="shared" si="12"/>
        <v/>
      </c>
      <c r="Q38" s="34">
        <f>SUM(tblNonPayrollIncrementalSpend3[[#This Row],[Jan-27]:[Dec-27]])</f>
        <v>0</v>
      </c>
      <c r="R38" s="69" t="str">
        <f t="shared" si="13"/>
        <v/>
      </c>
      <c r="S38" s="69" t="str">
        <f t="shared" si="13"/>
        <v/>
      </c>
      <c r="T38" s="69" t="str">
        <f t="shared" si="13"/>
        <v/>
      </c>
      <c r="U38" s="69" t="str">
        <f t="shared" si="13"/>
        <v/>
      </c>
      <c r="V38" s="69" t="str">
        <f t="shared" si="13"/>
        <v/>
      </c>
      <c r="W38" s="69" t="str">
        <f t="shared" si="13"/>
        <v/>
      </c>
      <c r="X38" s="69" t="str">
        <f t="shared" si="13"/>
        <v/>
      </c>
      <c r="Y38" s="69" t="str">
        <f t="shared" si="13"/>
        <v/>
      </c>
      <c r="Z38" s="69" t="str">
        <f t="shared" si="13"/>
        <v/>
      </c>
      <c r="AA38" s="69" t="str">
        <f t="shared" si="13"/>
        <v/>
      </c>
      <c r="AB38" s="69" t="str">
        <f t="shared" si="13"/>
        <v/>
      </c>
      <c r="AC38" s="69" t="str">
        <f t="shared" si="13"/>
        <v/>
      </c>
      <c r="AD38" s="34">
        <f>SUM(tblNonPayrollIncrementalSpend3[[#This Row],[Jan-27]:[Dec-27]])</f>
        <v>0</v>
      </c>
      <c r="AE38" s="69" t="str">
        <f t="shared" si="14"/>
        <v/>
      </c>
      <c r="AF38" s="69" t="str">
        <f t="shared" si="14"/>
        <v/>
      </c>
      <c r="AG38" s="69" t="str">
        <f t="shared" si="14"/>
        <v/>
      </c>
      <c r="AH38" s="69" t="str">
        <f t="shared" si="14"/>
        <v/>
      </c>
      <c r="AI38" s="69" t="str">
        <f t="shared" si="14"/>
        <v/>
      </c>
      <c r="AJ38" s="69" t="str">
        <f t="shared" si="14"/>
        <v/>
      </c>
      <c r="AK38" s="69" t="str">
        <f t="shared" si="14"/>
        <v/>
      </c>
      <c r="AL38" s="69" t="str">
        <f t="shared" si="14"/>
        <v/>
      </c>
      <c r="AM38" s="69" t="str">
        <f t="shared" si="14"/>
        <v/>
      </c>
      <c r="AN38" s="69" t="str">
        <f t="shared" si="14"/>
        <v/>
      </c>
      <c r="AO38" s="69" t="str">
        <f t="shared" si="14"/>
        <v/>
      </c>
      <c r="AP38" s="69" t="str">
        <f t="shared" si="14"/>
        <v/>
      </c>
      <c r="AQ38" s="34">
        <f>SUM(tblNonPayrollIncrementalSpend3[[#This Row],[Jan-27]:[Dec-27]])</f>
        <v>0</v>
      </c>
      <c r="AR38" s="69"/>
      <c r="AS38" s="34"/>
      <c r="AT38" s="34"/>
      <c r="AU38" s="34"/>
      <c r="AV38" s="34"/>
      <c r="AW38" s="34"/>
      <c r="AX38" s="34"/>
      <c r="AY38" s="34"/>
      <c r="AZ38" s="34"/>
      <c r="BA38" s="30"/>
      <c r="BB38" s="31"/>
      <c r="BC38" s="30"/>
    </row>
    <row r="39" spans="1:55" x14ac:dyDescent="0.35">
      <c r="A39" s="69"/>
      <c r="B39" s="69"/>
      <c r="C39" s="69"/>
      <c r="D39" s="69"/>
      <c r="E39" s="71" t="str">
        <f t="shared" si="12"/>
        <v/>
      </c>
      <c r="F39" s="69" t="str">
        <f t="shared" si="12"/>
        <v/>
      </c>
      <c r="G39" s="69" t="str">
        <f t="shared" si="12"/>
        <v/>
      </c>
      <c r="H39" s="69" t="str">
        <f t="shared" si="12"/>
        <v/>
      </c>
      <c r="I39" s="73" t="str">
        <f t="shared" si="12"/>
        <v/>
      </c>
      <c r="J39" s="73" t="str">
        <f t="shared" si="12"/>
        <v/>
      </c>
      <c r="K39" s="73" t="str">
        <f t="shared" si="12"/>
        <v/>
      </c>
      <c r="L39" s="69" t="str">
        <f t="shared" si="12"/>
        <v/>
      </c>
      <c r="M39" s="69" t="str">
        <f t="shared" si="12"/>
        <v/>
      </c>
      <c r="N39" s="69" t="str">
        <f t="shared" si="12"/>
        <v/>
      </c>
      <c r="O39" s="69" t="str">
        <f t="shared" si="12"/>
        <v/>
      </c>
      <c r="P39" s="69" t="str">
        <f t="shared" si="12"/>
        <v/>
      </c>
      <c r="Q39" s="34">
        <f>SUM(tblNonPayrollIncrementalSpend3[[#This Row],[Jan-27]:[Dec-27]])</f>
        <v>0</v>
      </c>
      <c r="R39" s="69" t="str">
        <f t="shared" si="13"/>
        <v/>
      </c>
      <c r="S39" s="69" t="str">
        <f t="shared" si="13"/>
        <v/>
      </c>
      <c r="T39" s="69" t="str">
        <f t="shared" si="13"/>
        <v/>
      </c>
      <c r="U39" s="69" t="str">
        <f t="shared" si="13"/>
        <v/>
      </c>
      <c r="V39" s="69" t="str">
        <f t="shared" si="13"/>
        <v/>
      </c>
      <c r="W39" s="69" t="str">
        <f t="shared" si="13"/>
        <v/>
      </c>
      <c r="X39" s="69" t="str">
        <f t="shared" si="13"/>
        <v/>
      </c>
      <c r="Y39" s="69" t="str">
        <f t="shared" si="13"/>
        <v/>
      </c>
      <c r="Z39" s="69" t="str">
        <f t="shared" si="13"/>
        <v/>
      </c>
      <c r="AA39" s="69" t="str">
        <f t="shared" si="13"/>
        <v/>
      </c>
      <c r="AB39" s="69" t="str">
        <f t="shared" si="13"/>
        <v/>
      </c>
      <c r="AC39" s="69" t="str">
        <f t="shared" si="13"/>
        <v/>
      </c>
      <c r="AD39" s="34">
        <f>SUM(tblNonPayrollIncrementalSpend3[[#This Row],[Jan-27]:[Dec-27]])</f>
        <v>0</v>
      </c>
      <c r="AE39" s="69" t="str">
        <f t="shared" si="14"/>
        <v/>
      </c>
      <c r="AF39" s="69" t="str">
        <f t="shared" si="14"/>
        <v/>
      </c>
      <c r="AG39" s="69" t="str">
        <f t="shared" si="14"/>
        <v/>
      </c>
      <c r="AH39" s="69" t="str">
        <f t="shared" si="14"/>
        <v/>
      </c>
      <c r="AI39" s="69" t="str">
        <f t="shared" si="14"/>
        <v/>
      </c>
      <c r="AJ39" s="69" t="str">
        <f t="shared" si="14"/>
        <v/>
      </c>
      <c r="AK39" s="69" t="str">
        <f t="shared" si="14"/>
        <v/>
      </c>
      <c r="AL39" s="69" t="str">
        <f t="shared" si="14"/>
        <v/>
      </c>
      <c r="AM39" s="69" t="str">
        <f t="shared" si="14"/>
        <v/>
      </c>
      <c r="AN39" s="69" t="str">
        <f t="shared" si="14"/>
        <v/>
      </c>
      <c r="AO39" s="69" t="str">
        <f t="shared" si="14"/>
        <v/>
      </c>
      <c r="AP39" s="69" t="str">
        <f t="shared" si="14"/>
        <v/>
      </c>
      <c r="AQ39" s="34">
        <f>SUM(tblNonPayrollIncrementalSpend3[[#This Row],[Jan-27]:[Dec-27]])</f>
        <v>0</v>
      </c>
      <c r="AR39" s="69"/>
      <c r="AS39" s="34"/>
      <c r="AT39" s="34"/>
      <c r="AU39" s="34"/>
      <c r="AV39" s="34"/>
      <c r="AW39" s="34"/>
      <c r="AX39" s="34"/>
      <c r="AY39" s="34"/>
      <c r="AZ39" s="34"/>
      <c r="BA39" s="30"/>
      <c r="BB39" s="31"/>
      <c r="BC39" s="30"/>
    </row>
    <row r="40" spans="1:55" x14ac:dyDescent="0.35">
      <c r="A40" s="69"/>
      <c r="B40" s="69"/>
      <c r="C40" s="69"/>
      <c r="D40" s="69"/>
      <c r="E40" s="71" t="str">
        <f t="shared" si="12"/>
        <v/>
      </c>
      <c r="F40" s="69" t="str">
        <f t="shared" si="12"/>
        <v/>
      </c>
      <c r="G40" s="69" t="str">
        <f t="shared" si="12"/>
        <v/>
      </c>
      <c r="H40" s="69" t="str">
        <f t="shared" si="12"/>
        <v/>
      </c>
      <c r="I40" s="73" t="str">
        <f t="shared" si="12"/>
        <v/>
      </c>
      <c r="J40" s="73" t="str">
        <f t="shared" si="12"/>
        <v/>
      </c>
      <c r="K40" s="73" t="str">
        <f t="shared" si="12"/>
        <v/>
      </c>
      <c r="L40" s="69" t="str">
        <f t="shared" si="12"/>
        <v/>
      </c>
      <c r="M40" s="69" t="str">
        <f t="shared" si="12"/>
        <v/>
      </c>
      <c r="N40" s="69" t="str">
        <f t="shared" si="12"/>
        <v/>
      </c>
      <c r="O40" s="69" t="str">
        <f t="shared" si="12"/>
        <v/>
      </c>
      <c r="P40" s="69" t="str">
        <f t="shared" si="12"/>
        <v/>
      </c>
      <c r="Q40" s="34">
        <f>SUM(tblNonPayrollIncrementalSpend3[[#This Row],[Jan-27]:[Dec-27]])</f>
        <v>0</v>
      </c>
      <c r="R40" s="69" t="str">
        <f t="shared" si="13"/>
        <v/>
      </c>
      <c r="S40" s="69" t="str">
        <f t="shared" si="13"/>
        <v/>
      </c>
      <c r="T40" s="69" t="str">
        <f t="shared" si="13"/>
        <v/>
      </c>
      <c r="U40" s="69" t="str">
        <f t="shared" si="13"/>
        <v/>
      </c>
      <c r="V40" s="69" t="str">
        <f t="shared" si="13"/>
        <v/>
      </c>
      <c r="W40" s="69" t="str">
        <f t="shared" si="13"/>
        <v/>
      </c>
      <c r="X40" s="69" t="str">
        <f t="shared" si="13"/>
        <v/>
      </c>
      <c r="Y40" s="69" t="str">
        <f t="shared" si="13"/>
        <v/>
      </c>
      <c r="Z40" s="69" t="str">
        <f t="shared" si="13"/>
        <v/>
      </c>
      <c r="AA40" s="69" t="str">
        <f t="shared" si="13"/>
        <v/>
      </c>
      <c r="AB40" s="69" t="str">
        <f t="shared" si="13"/>
        <v/>
      </c>
      <c r="AC40" s="69" t="str">
        <f t="shared" si="13"/>
        <v/>
      </c>
      <c r="AD40" s="34">
        <f>SUM(tblNonPayrollIncrementalSpend3[[#This Row],[Jan-27]:[Dec-27]])</f>
        <v>0</v>
      </c>
      <c r="AE40" s="69" t="str">
        <f t="shared" si="14"/>
        <v/>
      </c>
      <c r="AF40" s="69" t="str">
        <f t="shared" si="14"/>
        <v/>
      </c>
      <c r="AG40" s="69" t="str">
        <f t="shared" si="14"/>
        <v/>
      </c>
      <c r="AH40" s="69" t="str">
        <f t="shared" si="14"/>
        <v/>
      </c>
      <c r="AI40" s="69" t="str">
        <f t="shared" si="14"/>
        <v/>
      </c>
      <c r="AJ40" s="69" t="str">
        <f t="shared" si="14"/>
        <v/>
      </c>
      <c r="AK40" s="69" t="str">
        <f t="shared" si="14"/>
        <v/>
      </c>
      <c r="AL40" s="69" t="str">
        <f t="shared" si="14"/>
        <v/>
      </c>
      <c r="AM40" s="69" t="str">
        <f t="shared" si="14"/>
        <v/>
      </c>
      <c r="AN40" s="69" t="str">
        <f t="shared" si="14"/>
        <v/>
      </c>
      <c r="AO40" s="69" t="str">
        <f t="shared" si="14"/>
        <v/>
      </c>
      <c r="AP40" s="69" t="str">
        <f t="shared" si="14"/>
        <v/>
      </c>
      <c r="AQ40" s="34">
        <f>SUM(tblNonPayrollIncrementalSpend3[[#This Row],[Jan-27]:[Dec-27]])</f>
        <v>0</v>
      </c>
      <c r="AR40" s="69"/>
      <c r="AS40" s="34"/>
      <c r="AT40" s="34"/>
      <c r="AU40" s="34"/>
      <c r="AV40" s="34"/>
      <c r="AW40" s="34"/>
      <c r="AX40" s="34"/>
      <c r="AY40" s="34"/>
      <c r="AZ40" s="34"/>
      <c r="BA40" s="30"/>
      <c r="BB40" s="31"/>
      <c r="BC40" s="30"/>
    </row>
    <row r="41" spans="1:55" x14ac:dyDescent="0.35">
      <c r="A41" s="69"/>
      <c r="B41" s="69"/>
      <c r="C41" s="69"/>
      <c r="D41" s="69"/>
      <c r="E41" s="71" t="str">
        <f t="shared" si="12"/>
        <v/>
      </c>
      <c r="F41" s="69" t="str">
        <f t="shared" si="12"/>
        <v/>
      </c>
      <c r="G41" s="69" t="str">
        <f t="shared" si="12"/>
        <v/>
      </c>
      <c r="H41" s="69" t="str">
        <f t="shared" si="12"/>
        <v/>
      </c>
      <c r="I41" s="73" t="str">
        <f t="shared" si="12"/>
        <v/>
      </c>
      <c r="J41" s="73" t="str">
        <f t="shared" si="12"/>
        <v/>
      </c>
      <c r="K41" s="73" t="str">
        <f t="shared" si="12"/>
        <v/>
      </c>
      <c r="L41" s="69" t="str">
        <f t="shared" si="12"/>
        <v/>
      </c>
      <c r="M41" s="69" t="str">
        <f t="shared" si="12"/>
        <v/>
      </c>
      <c r="N41" s="69" t="str">
        <f t="shared" si="12"/>
        <v/>
      </c>
      <c r="O41" s="69" t="str">
        <f t="shared" si="12"/>
        <v/>
      </c>
      <c r="P41" s="69" t="str">
        <f t="shared" si="12"/>
        <v/>
      </c>
      <c r="Q41" s="34">
        <f>SUM(tblNonPayrollIncrementalSpend3[[#This Row],[Jan-27]:[Dec-27]])</f>
        <v>0</v>
      </c>
      <c r="R41" s="69" t="str">
        <f t="shared" si="13"/>
        <v/>
      </c>
      <c r="S41" s="69" t="str">
        <f t="shared" si="13"/>
        <v/>
      </c>
      <c r="T41" s="69" t="str">
        <f t="shared" si="13"/>
        <v/>
      </c>
      <c r="U41" s="69" t="str">
        <f t="shared" si="13"/>
        <v/>
      </c>
      <c r="V41" s="69" t="str">
        <f t="shared" si="13"/>
        <v/>
      </c>
      <c r="W41" s="69" t="str">
        <f t="shared" si="13"/>
        <v/>
      </c>
      <c r="X41" s="69" t="str">
        <f t="shared" si="13"/>
        <v/>
      </c>
      <c r="Y41" s="69" t="str">
        <f t="shared" si="13"/>
        <v/>
      </c>
      <c r="Z41" s="69" t="str">
        <f t="shared" si="13"/>
        <v/>
      </c>
      <c r="AA41" s="69" t="str">
        <f t="shared" si="13"/>
        <v/>
      </c>
      <c r="AB41" s="69" t="str">
        <f t="shared" si="13"/>
        <v/>
      </c>
      <c r="AC41" s="69" t="str">
        <f t="shared" si="13"/>
        <v/>
      </c>
      <c r="AD41" s="34">
        <f>SUM(tblNonPayrollIncrementalSpend3[[#This Row],[Jan-27]:[Dec-27]])</f>
        <v>0</v>
      </c>
      <c r="AE41" s="69" t="str">
        <f t="shared" si="14"/>
        <v/>
      </c>
      <c r="AF41" s="69" t="str">
        <f t="shared" si="14"/>
        <v/>
      </c>
      <c r="AG41" s="69" t="str">
        <f t="shared" si="14"/>
        <v/>
      </c>
      <c r="AH41" s="69" t="str">
        <f t="shared" si="14"/>
        <v/>
      </c>
      <c r="AI41" s="69" t="str">
        <f t="shared" si="14"/>
        <v/>
      </c>
      <c r="AJ41" s="69" t="str">
        <f t="shared" si="14"/>
        <v/>
      </c>
      <c r="AK41" s="69" t="str">
        <f t="shared" si="14"/>
        <v/>
      </c>
      <c r="AL41" s="69" t="str">
        <f t="shared" si="14"/>
        <v/>
      </c>
      <c r="AM41" s="69" t="str">
        <f t="shared" si="14"/>
        <v/>
      </c>
      <c r="AN41" s="69" t="str">
        <f t="shared" si="14"/>
        <v/>
      </c>
      <c r="AO41" s="69" t="str">
        <f t="shared" si="14"/>
        <v/>
      </c>
      <c r="AP41" s="69" t="str">
        <f t="shared" si="14"/>
        <v/>
      </c>
      <c r="AQ41" s="34">
        <f>SUM(tblNonPayrollIncrementalSpend3[[#This Row],[Jan-27]:[Dec-27]])</f>
        <v>0</v>
      </c>
      <c r="AR41" s="69"/>
      <c r="AS41" s="34"/>
      <c r="AT41" s="34"/>
      <c r="AU41" s="34"/>
      <c r="AV41" s="34"/>
      <c r="AW41" s="34"/>
      <c r="AX41" s="34"/>
      <c r="AY41" s="34"/>
      <c r="AZ41" s="34"/>
      <c r="BA41" s="30"/>
      <c r="BB41" s="31"/>
      <c r="BC41" s="30"/>
    </row>
    <row r="42" spans="1:55" x14ac:dyDescent="0.35">
      <c r="A42" s="69"/>
      <c r="B42" s="69"/>
      <c r="C42" s="69"/>
      <c r="D42" s="69"/>
      <c r="E42" s="71" t="str">
        <f t="shared" si="12"/>
        <v/>
      </c>
      <c r="F42" s="69" t="str">
        <f t="shared" si="12"/>
        <v/>
      </c>
      <c r="G42" s="69" t="str">
        <f t="shared" si="12"/>
        <v/>
      </c>
      <c r="H42" s="69" t="str">
        <f t="shared" si="12"/>
        <v/>
      </c>
      <c r="I42" s="73" t="str">
        <f t="shared" si="12"/>
        <v/>
      </c>
      <c r="J42" s="73" t="str">
        <f t="shared" si="12"/>
        <v/>
      </c>
      <c r="K42" s="73" t="str">
        <f t="shared" si="12"/>
        <v/>
      </c>
      <c r="L42" s="69" t="str">
        <f t="shared" si="12"/>
        <v/>
      </c>
      <c r="M42" s="69" t="str">
        <f t="shared" si="12"/>
        <v/>
      </c>
      <c r="N42" s="69" t="str">
        <f t="shared" si="12"/>
        <v/>
      </c>
      <c r="O42" s="69" t="str">
        <f t="shared" si="12"/>
        <v/>
      </c>
      <c r="P42" s="69" t="str">
        <f t="shared" si="12"/>
        <v/>
      </c>
      <c r="Q42" s="34">
        <f>SUM(tblNonPayrollIncrementalSpend3[[#This Row],[Jan-27]:[Dec-27]])</f>
        <v>0</v>
      </c>
      <c r="R42" s="69" t="str">
        <f t="shared" si="13"/>
        <v/>
      </c>
      <c r="S42" s="69" t="str">
        <f t="shared" si="13"/>
        <v/>
      </c>
      <c r="T42" s="69" t="str">
        <f t="shared" si="13"/>
        <v/>
      </c>
      <c r="U42" s="69" t="str">
        <f t="shared" si="13"/>
        <v/>
      </c>
      <c r="V42" s="69" t="str">
        <f t="shared" si="13"/>
        <v/>
      </c>
      <c r="W42" s="69" t="str">
        <f t="shared" si="13"/>
        <v/>
      </c>
      <c r="X42" s="69" t="str">
        <f t="shared" si="13"/>
        <v/>
      </c>
      <c r="Y42" s="69" t="str">
        <f t="shared" si="13"/>
        <v/>
      </c>
      <c r="Z42" s="69" t="str">
        <f t="shared" si="13"/>
        <v/>
      </c>
      <c r="AA42" s="69" t="str">
        <f t="shared" si="13"/>
        <v/>
      </c>
      <c r="AB42" s="69" t="str">
        <f t="shared" si="13"/>
        <v/>
      </c>
      <c r="AC42" s="69" t="str">
        <f t="shared" si="13"/>
        <v/>
      </c>
      <c r="AD42" s="34">
        <f>SUM(tblNonPayrollIncrementalSpend3[[#This Row],[Jan-27]:[Dec-27]])</f>
        <v>0</v>
      </c>
      <c r="AE42" s="69" t="str">
        <f t="shared" si="14"/>
        <v/>
      </c>
      <c r="AF42" s="69" t="str">
        <f t="shared" si="14"/>
        <v/>
      </c>
      <c r="AG42" s="69" t="str">
        <f t="shared" si="14"/>
        <v/>
      </c>
      <c r="AH42" s="69" t="str">
        <f t="shared" si="14"/>
        <v/>
      </c>
      <c r="AI42" s="69" t="str">
        <f t="shared" si="14"/>
        <v/>
      </c>
      <c r="AJ42" s="69" t="str">
        <f t="shared" si="14"/>
        <v/>
      </c>
      <c r="AK42" s="69" t="str">
        <f t="shared" si="14"/>
        <v/>
      </c>
      <c r="AL42" s="69" t="str">
        <f t="shared" si="14"/>
        <v/>
      </c>
      <c r="AM42" s="69" t="str">
        <f t="shared" si="14"/>
        <v/>
      </c>
      <c r="AN42" s="69" t="str">
        <f t="shared" si="14"/>
        <v/>
      </c>
      <c r="AO42" s="69" t="str">
        <f t="shared" si="14"/>
        <v/>
      </c>
      <c r="AP42" s="69" t="str">
        <f t="shared" si="14"/>
        <v/>
      </c>
      <c r="AQ42" s="34">
        <f>SUM(tblNonPayrollIncrementalSpend3[[#This Row],[Jan-27]:[Dec-27]])</f>
        <v>0</v>
      </c>
      <c r="AR42" s="69"/>
      <c r="AS42" s="34"/>
      <c r="AT42" s="34"/>
      <c r="AU42" s="34"/>
      <c r="AV42" s="34"/>
      <c r="AW42" s="34"/>
      <c r="AX42" s="34"/>
      <c r="AY42" s="34"/>
      <c r="AZ42" s="34"/>
      <c r="BA42" s="30"/>
      <c r="BB42" s="31"/>
      <c r="BC42" s="30"/>
    </row>
    <row r="43" spans="1:55" x14ac:dyDescent="0.35">
      <c r="A43" s="30"/>
      <c r="B43" s="30"/>
      <c r="C43" s="30"/>
      <c r="D43" s="30"/>
      <c r="E43" s="31"/>
      <c r="F43" s="30"/>
      <c r="G43" s="30"/>
      <c r="H43" s="30"/>
      <c r="I43" s="31"/>
      <c r="J43" s="31"/>
      <c r="K43" s="31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1"/>
      <c r="BC43" s="30"/>
    </row>
    <row r="44" spans="1:55" ht="15" customHeight="1" thickBot="1" x14ac:dyDescent="0.4">
      <c r="A44" s="35" t="s">
        <v>61</v>
      </c>
      <c r="B44" s="35"/>
      <c r="C44" s="35"/>
      <c r="D44" s="36">
        <f t="shared" ref="D44:AQ44" si="15">SUM(D28:D42)</f>
        <v>0</v>
      </c>
      <c r="E44" s="36">
        <f t="shared" si="15"/>
        <v>0</v>
      </c>
      <c r="F44" s="36">
        <f t="shared" si="15"/>
        <v>0</v>
      </c>
      <c r="G44" s="36">
        <f t="shared" si="15"/>
        <v>0</v>
      </c>
      <c r="H44" s="36">
        <f t="shared" si="15"/>
        <v>0</v>
      </c>
      <c r="I44" s="36">
        <f t="shared" si="15"/>
        <v>0</v>
      </c>
      <c r="J44" s="36">
        <f t="shared" si="15"/>
        <v>0</v>
      </c>
      <c r="K44" s="36">
        <f t="shared" si="15"/>
        <v>0</v>
      </c>
      <c r="L44" s="36">
        <f t="shared" si="15"/>
        <v>0</v>
      </c>
      <c r="M44" s="36">
        <f t="shared" si="15"/>
        <v>0</v>
      </c>
      <c r="N44" s="36">
        <f t="shared" si="15"/>
        <v>0</v>
      </c>
      <c r="O44" s="36">
        <f t="shared" si="15"/>
        <v>0</v>
      </c>
      <c r="P44" s="36">
        <f t="shared" si="15"/>
        <v>0</v>
      </c>
      <c r="Q44" s="36">
        <f t="shared" si="15"/>
        <v>0</v>
      </c>
      <c r="R44" s="36">
        <f t="shared" si="15"/>
        <v>0</v>
      </c>
      <c r="S44" s="36">
        <f t="shared" si="15"/>
        <v>0</v>
      </c>
      <c r="T44" s="36">
        <f t="shared" si="15"/>
        <v>0</v>
      </c>
      <c r="U44" s="36">
        <f t="shared" si="15"/>
        <v>0</v>
      </c>
      <c r="V44" s="36">
        <f t="shared" si="15"/>
        <v>0</v>
      </c>
      <c r="W44" s="36">
        <f t="shared" si="15"/>
        <v>0</v>
      </c>
      <c r="X44" s="36">
        <f t="shared" si="15"/>
        <v>0</v>
      </c>
      <c r="Y44" s="36">
        <f t="shared" si="15"/>
        <v>0</v>
      </c>
      <c r="Z44" s="36">
        <f t="shared" si="15"/>
        <v>0</v>
      </c>
      <c r="AA44" s="36">
        <f t="shared" si="15"/>
        <v>0</v>
      </c>
      <c r="AB44" s="36">
        <f t="shared" si="15"/>
        <v>0</v>
      </c>
      <c r="AC44" s="36">
        <f t="shared" si="15"/>
        <v>0</v>
      </c>
      <c r="AD44" s="36">
        <f t="shared" si="15"/>
        <v>0</v>
      </c>
      <c r="AE44" s="36">
        <f t="shared" si="15"/>
        <v>0</v>
      </c>
      <c r="AF44" s="36">
        <f t="shared" si="15"/>
        <v>0</v>
      </c>
      <c r="AG44" s="36">
        <f t="shared" si="15"/>
        <v>0</v>
      </c>
      <c r="AH44" s="36">
        <f t="shared" si="15"/>
        <v>0</v>
      </c>
      <c r="AI44" s="36">
        <f t="shared" si="15"/>
        <v>0</v>
      </c>
      <c r="AJ44" s="36">
        <f t="shared" si="15"/>
        <v>0</v>
      </c>
      <c r="AK44" s="36">
        <f t="shared" si="15"/>
        <v>0</v>
      </c>
      <c r="AL44" s="36">
        <f t="shared" si="15"/>
        <v>0</v>
      </c>
      <c r="AM44" s="36">
        <f t="shared" si="15"/>
        <v>0</v>
      </c>
      <c r="AN44" s="36">
        <f t="shared" si="15"/>
        <v>0</v>
      </c>
      <c r="AO44" s="36">
        <f t="shared" si="15"/>
        <v>0</v>
      </c>
      <c r="AP44" s="36">
        <f t="shared" si="15"/>
        <v>0</v>
      </c>
      <c r="AQ44" s="36">
        <f t="shared" si="15"/>
        <v>0</v>
      </c>
      <c r="AR44" s="36"/>
      <c r="AS44" s="30"/>
      <c r="AT44" s="30"/>
      <c r="AU44" s="30"/>
      <c r="AV44" s="30"/>
      <c r="AW44" s="30"/>
      <c r="AX44" s="30"/>
      <c r="AY44" s="30"/>
      <c r="AZ44" s="30"/>
      <c r="BA44" s="30"/>
      <c r="BB44" s="31"/>
      <c r="BC44" s="30"/>
    </row>
    <row r="45" spans="1:55" ht="15" customHeight="1" thickTop="1" x14ac:dyDescent="0.35">
      <c r="L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C45" s="3"/>
    </row>
    <row r="46" spans="1:55" x14ac:dyDescent="0.35">
      <c r="L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5" x14ac:dyDescent="0.3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5" x14ac:dyDescent="0.3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x14ac:dyDescent="0.3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x14ac:dyDescent="0.3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</sheetData>
  <sheetProtection algorithmName="SHA-512" hashValue="JevoFLHlJ7Qu0FXrME5V6o67VHP3CnMI0ckuk0UPUv/YhkIwZglw0SNqJkjagDTaUBT73Ug4o89ZkPT0Zcw41w==" saltValue="lJozuTPeejADTXpKzG3+Hg==" spinCount="100000" sheet="1" objects="1" scenarios="1"/>
  <mergeCells count="3">
    <mergeCell ref="A3:BB3"/>
    <mergeCell ref="A1:BB1"/>
    <mergeCell ref="A26:AR26"/>
  </mergeCells>
  <pageMargins left="0.7" right="0.7" top="0.75" bottom="0.75" header="0.3" footer="0.3"/>
  <customProperties>
    <customPr name="isReportSheetChanged" r:id="rId1"/>
  </customProperties>
  <ignoredErrors>
    <ignoredError sqref="G22:BB22 D44:AR44" unlockedFormula="1"/>
    <ignoredError sqref="I5:O5 I6:N20 AA6:AA20 AA5 AN5 AN6:AN20 BA5:BB5 BA6:BB20" calculatedColumn="1"/>
    <ignoredError sqref="E29:P42 E28:P28 R28:AC28 R29:AC42 AE28:AP28 AE29:AP42 AR28 AR29:AR42" unlockedFormula="1" calculatedColumn="1"/>
  </ignoredErrors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ype of Expense" prompt="Select a Non-Payroll category, Contract Labor or Essentials Bonus" xr:uid="{15F2FDDF-FD08-4E49-96BD-115AA19E33A3}">
          <x14:formula1>
            <xm:f>'Base - Non-Payroll'!$A$3:$A$25</xm:f>
          </x14:formula1>
          <xm:sqref>B28:B42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="80" zoomScaleNormal="80" workbookViewId="0">
      <selection activeCell="G22" sqref="G22"/>
    </sheetView>
  </sheetViews>
  <sheetFormatPr defaultRowHeight="14.5" x14ac:dyDescent="0.35"/>
  <cols>
    <col min="1" max="1" width="15.1796875" customWidth="1"/>
    <col min="2" max="2" width="38.54296875" customWidth="1"/>
    <col min="3" max="3" width="52" customWidth="1"/>
  </cols>
  <sheetData>
    <row r="1" spans="1:3" ht="18.5" customHeight="1" x14ac:dyDescent="0.35">
      <c r="A1" s="67" t="s">
        <v>63</v>
      </c>
      <c r="B1" s="68"/>
      <c r="C1" s="68"/>
    </row>
    <row r="2" spans="1:3" x14ac:dyDescent="0.35">
      <c r="A2" s="38"/>
      <c r="B2" s="38"/>
      <c r="C2" s="38"/>
    </row>
    <row r="3" spans="1:3" ht="15" customHeight="1" thickBot="1" x14ac:dyDescent="0.4">
      <c r="A3" s="46" t="s">
        <v>64</v>
      </c>
      <c r="B3" s="46" t="s">
        <v>65</v>
      </c>
      <c r="C3" s="46" t="s">
        <v>66</v>
      </c>
    </row>
    <row r="4" spans="1:3" ht="58" customHeight="1" x14ac:dyDescent="0.35">
      <c r="A4" s="43">
        <v>1</v>
      </c>
      <c r="B4" s="44" t="s">
        <v>67</v>
      </c>
      <c r="C4" s="45" t="s">
        <v>68</v>
      </c>
    </row>
    <row r="5" spans="1:3" ht="72.5" customHeight="1" x14ac:dyDescent="0.35">
      <c r="A5" s="39">
        <v>2</v>
      </c>
      <c r="B5" s="40" t="s">
        <v>69</v>
      </c>
      <c r="C5" s="41" t="s">
        <v>70</v>
      </c>
    </row>
    <row r="6" spans="1:3" ht="87" customHeight="1" x14ac:dyDescent="0.35">
      <c r="A6" s="39">
        <v>3</v>
      </c>
      <c r="B6" s="40" t="s">
        <v>71</v>
      </c>
      <c r="C6" s="41" t="s">
        <v>72</v>
      </c>
    </row>
    <row r="7" spans="1:3" ht="72.5" customHeight="1" x14ac:dyDescent="0.35">
      <c r="A7" s="39">
        <v>4</v>
      </c>
      <c r="B7" s="40" t="s">
        <v>73</v>
      </c>
      <c r="C7" s="41" t="s">
        <v>74</v>
      </c>
    </row>
    <row r="8" spans="1:3" ht="72.5" customHeight="1" x14ac:dyDescent="0.35">
      <c r="A8" s="39">
        <v>5</v>
      </c>
      <c r="B8" s="40" t="s">
        <v>75</v>
      </c>
      <c r="C8" s="41" t="s">
        <v>76</v>
      </c>
    </row>
    <row r="9" spans="1:3" x14ac:dyDescent="0.35">
      <c r="A9" s="42"/>
      <c r="B9" s="42"/>
      <c r="C9" s="42"/>
    </row>
    <row r="10" spans="1:3" ht="8" customHeight="1" x14ac:dyDescent="0.35">
      <c r="A10" s="38"/>
      <c r="B10" s="38"/>
      <c r="C10" s="38"/>
    </row>
  </sheetData>
  <sheetProtection algorithmName="SHA-512" hashValue="cZFdYcpoMTi67PjTLt4o2b7ZqX05Mi9eTRRr83nA5NzPnDlXifE0KvLBQI49x4jnQZCYIchhLd0OX6PQ2ASJTA==" saltValue="4szqCs2oNICM0j6tb1oNhg==" spinCount="100000" sheet="1" objects="1" scenarios="1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zoomScale="60" workbookViewId="0">
      <selection activeCell="F14" sqref="F14"/>
    </sheetView>
  </sheetViews>
  <sheetFormatPr defaultRowHeight="14.5" x14ac:dyDescent="0.35"/>
  <cols>
    <col min="1" max="1" width="21" bestFit="1" customWidth="1"/>
    <col min="2" max="2" width="31.81640625" customWidth="1"/>
    <col min="3" max="3" width="47.26953125" customWidth="1"/>
    <col min="4" max="4" width="15.453125" customWidth="1"/>
    <col min="5" max="5" width="37.90625" bestFit="1" customWidth="1"/>
    <col min="6" max="6" width="17.81640625" customWidth="1"/>
    <col min="7" max="8" width="15.453125" customWidth="1"/>
    <col min="9" max="9" width="17.54296875" bestFit="1" customWidth="1"/>
    <col min="10" max="10" width="36" bestFit="1" customWidth="1"/>
  </cols>
  <sheetData>
    <row r="1" spans="1:10" x14ac:dyDescent="0.35">
      <c r="A1" s="60"/>
      <c r="B1" s="24" t="s">
        <v>77</v>
      </c>
      <c r="C1" s="24" t="s">
        <v>78</v>
      </c>
      <c r="D1" s="24" t="s">
        <v>79</v>
      </c>
      <c r="E1" s="24" t="s">
        <v>80</v>
      </c>
      <c r="F1" s="24" t="s">
        <v>81</v>
      </c>
      <c r="G1" s="24" t="s">
        <v>82</v>
      </c>
      <c r="H1" s="24" t="s">
        <v>82</v>
      </c>
      <c r="I1" s="24" t="s">
        <v>82</v>
      </c>
      <c r="J1" s="10"/>
    </row>
    <row r="2" spans="1:10" x14ac:dyDescent="0.35">
      <c r="A2" s="60"/>
      <c r="B2" s="25"/>
      <c r="C2" s="25"/>
      <c r="D2" s="24" t="s">
        <v>83</v>
      </c>
      <c r="E2" s="24" t="s">
        <v>84</v>
      </c>
      <c r="F2" s="24" t="s">
        <v>85</v>
      </c>
      <c r="G2" s="24" t="s">
        <v>86</v>
      </c>
      <c r="H2" s="24" t="s">
        <v>87</v>
      </c>
      <c r="I2" s="24" t="s">
        <v>88</v>
      </c>
      <c r="J2" s="10"/>
    </row>
    <row r="3" spans="1:10" x14ac:dyDescent="0.35">
      <c r="A3" s="60" t="s">
        <v>2</v>
      </c>
      <c r="B3" s="22" t="s">
        <v>89</v>
      </c>
      <c r="C3" s="22" t="s">
        <v>90</v>
      </c>
      <c r="D3" s="23">
        <v>4558551.33</v>
      </c>
      <c r="E3" s="23">
        <v>12484861.149608999</v>
      </c>
      <c r="F3" s="29">
        <f t="shared" ref="F3:F9" si="0">E3/D3-1</f>
        <v>1.7387782314626254</v>
      </c>
      <c r="G3" s="23">
        <v>15345428.987732001</v>
      </c>
      <c r="H3" s="23">
        <f>G3</f>
        <v>15345428.987732001</v>
      </c>
      <c r="I3" s="23">
        <f>H3</f>
        <v>15345428.987732001</v>
      </c>
      <c r="J3" s="22" t="s">
        <v>91</v>
      </c>
    </row>
    <row r="4" spans="1:10" x14ac:dyDescent="0.35">
      <c r="A4" s="60" t="s">
        <v>5</v>
      </c>
      <c r="B4" s="22" t="s">
        <v>89</v>
      </c>
      <c r="C4" s="22" t="s">
        <v>92</v>
      </c>
      <c r="D4" s="23">
        <v>501527.88</v>
      </c>
      <c r="E4" s="23">
        <v>1451993.7901979999</v>
      </c>
      <c r="F4" s="29">
        <f t="shared" si="0"/>
        <v>1.8951407251736434</v>
      </c>
      <c r="G4" s="23">
        <f>$G$3*E12</f>
        <v>1784678.8467334339</v>
      </c>
      <c r="H4" s="23">
        <f>$H$3*E12</f>
        <v>1784678.8467334339</v>
      </c>
      <c r="I4" s="23">
        <f>$I$3*G12</f>
        <v>1784678.8467334339</v>
      </c>
      <c r="J4" s="9"/>
    </row>
    <row r="5" spans="1:10" x14ac:dyDescent="0.35">
      <c r="A5" s="60" t="s">
        <v>6</v>
      </c>
      <c r="B5" s="22" t="s">
        <v>89</v>
      </c>
      <c r="C5" s="22" t="s">
        <v>93</v>
      </c>
      <c r="D5" s="23">
        <v>504236.44</v>
      </c>
      <c r="E5" s="23">
        <v>1484837.372161</v>
      </c>
      <c r="F5" s="29">
        <f t="shared" si="0"/>
        <v>1.9447244474457261</v>
      </c>
      <c r="G5" s="23">
        <f>$G$3*E13</f>
        <v>1825047.6460878232</v>
      </c>
      <c r="H5" s="23">
        <f>$H$3*E13</f>
        <v>1825047.6460878232</v>
      </c>
      <c r="I5" s="23">
        <f>$I$3*G13</f>
        <v>1825047.6460878232</v>
      </c>
      <c r="J5" s="9"/>
    </row>
    <row r="6" spans="1:10" x14ac:dyDescent="0.35">
      <c r="A6" s="60" t="s">
        <v>3</v>
      </c>
      <c r="B6" s="22" t="s">
        <v>89</v>
      </c>
      <c r="C6" s="22" t="s">
        <v>94</v>
      </c>
      <c r="D6" s="23">
        <v>2763608.38</v>
      </c>
      <c r="E6" s="23">
        <v>7260350.933855</v>
      </c>
      <c r="F6" s="29">
        <f t="shared" si="0"/>
        <v>1.6271272682473921</v>
      </c>
      <c r="G6" s="23">
        <f>$G$3*E14</f>
        <v>8923863.7375614587</v>
      </c>
      <c r="H6" s="23">
        <f>$H$3*E14</f>
        <v>8923863.7375614587</v>
      </c>
      <c r="I6" s="23">
        <f>$I$3*G14</f>
        <v>8923863.7375614587</v>
      </c>
      <c r="J6" s="9"/>
    </row>
    <row r="7" spans="1:10" x14ac:dyDescent="0.35">
      <c r="A7" s="60" t="s">
        <v>7</v>
      </c>
      <c r="B7" s="22" t="s">
        <v>89</v>
      </c>
      <c r="C7" s="22" t="s">
        <v>95</v>
      </c>
      <c r="D7" s="23">
        <v>15988.92</v>
      </c>
      <c r="E7" s="23">
        <v>54952.650055999999</v>
      </c>
      <c r="F7" s="29">
        <f t="shared" si="0"/>
        <v>2.4369206960820367</v>
      </c>
      <c r="G7" s="23">
        <f>$G$3*E15</f>
        <v>67543.56167977443</v>
      </c>
      <c r="H7" s="23">
        <f>$H$3*E15</f>
        <v>67543.56167977443</v>
      </c>
      <c r="I7" s="23">
        <f>$I$3*G15</f>
        <v>67543.56167977443</v>
      </c>
      <c r="J7" s="9"/>
    </row>
    <row r="8" spans="1:10" x14ac:dyDescent="0.35">
      <c r="A8" s="60" t="s">
        <v>8</v>
      </c>
      <c r="B8" s="22" t="s">
        <v>89</v>
      </c>
      <c r="C8" s="22" t="s">
        <v>96</v>
      </c>
      <c r="D8" s="23">
        <v>137.37</v>
      </c>
      <c r="E8" s="23">
        <v>0</v>
      </c>
      <c r="F8" s="29">
        <f t="shared" si="0"/>
        <v>-1</v>
      </c>
      <c r="G8" s="23">
        <f>$G$3*E16</f>
        <v>0</v>
      </c>
      <c r="H8" s="23">
        <f>$H$3*E16</f>
        <v>0</v>
      </c>
      <c r="I8" s="23">
        <f>$I$3*G16</f>
        <v>0</v>
      </c>
      <c r="J8" s="9"/>
    </row>
    <row r="9" spans="1:10" x14ac:dyDescent="0.35">
      <c r="A9" s="60" t="s">
        <v>10</v>
      </c>
      <c r="B9" s="22" t="s">
        <v>89</v>
      </c>
      <c r="C9" s="22" t="s">
        <v>97</v>
      </c>
      <c r="D9" s="23">
        <v>2003832.95</v>
      </c>
      <c r="E9" s="23">
        <v>3562244.85</v>
      </c>
      <c r="F9" s="29">
        <f t="shared" si="0"/>
        <v>0.77771547772981786</v>
      </c>
      <c r="G9" s="23">
        <f>((E9/D9-1)+1)*E9</f>
        <v>6332657.8053083336</v>
      </c>
      <c r="H9" s="23">
        <f>G9</f>
        <v>6332657.8053083336</v>
      </c>
      <c r="I9" s="23">
        <f>H9</f>
        <v>6332657.8053083336</v>
      </c>
      <c r="J9" s="9"/>
    </row>
    <row r="10" spans="1:10" x14ac:dyDescent="0.35">
      <c r="A10" s="60"/>
      <c r="B10" s="26"/>
      <c r="C10" s="26"/>
      <c r="D10" s="27">
        <f>SUM(D3:D9)</f>
        <v>10347883.27</v>
      </c>
      <c r="E10" s="27">
        <f>SUM(E3:E9)</f>
        <v>26299240.745879002</v>
      </c>
      <c r="F10" s="28"/>
      <c r="G10" s="27">
        <f>SUM(G3:G9)</f>
        <v>34279220.585102819</v>
      </c>
      <c r="H10" s="27">
        <f>SUM(H3:H9)</f>
        <v>34279220.585102819</v>
      </c>
      <c r="I10" s="27">
        <f>SUM(I3:I9)</f>
        <v>34279220.585102819</v>
      </c>
      <c r="J10" s="61"/>
    </row>
    <row r="11" spans="1:10" x14ac:dyDescent="0.35">
      <c r="A11" s="60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35">
      <c r="A12" s="60"/>
      <c r="B12" s="22" t="s">
        <v>89</v>
      </c>
      <c r="C12" s="22" t="s">
        <v>98</v>
      </c>
      <c r="D12" s="29">
        <f t="shared" ref="D12:D17" si="1">D4/$D$3</f>
        <v>0.1100191362767873</v>
      </c>
      <c r="E12" s="29">
        <f t="shared" ref="E12:E17" si="2">E4/$E$3</f>
        <v>0.11630035551043941</v>
      </c>
      <c r="F12" s="29"/>
      <c r="G12" s="29">
        <f t="shared" ref="G12:G17" si="3">G4/$G$3</f>
        <v>0.11630035551043941</v>
      </c>
      <c r="H12" s="29">
        <f t="shared" ref="H12:H17" si="4">H4/$H$3</f>
        <v>0.11630035551043941</v>
      </c>
      <c r="I12" s="29">
        <f t="shared" ref="I12:I17" si="5">I4/$I$3</f>
        <v>0.11630035551043941</v>
      </c>
      <c r="J12" s="9"/>
    </row>
    <row r="13" spans="1:10" x14ac:dyDescent="0.35">
      <c r="A13" s="60"/>
      <c r="B13" s="22" t="s">
        <v>89</v>
      </c>
      <c r="C13" s="22" t="s">
        <v>99</v>
      </c>
      <c r="D13" s="29">
        <f t="shared" si="1"/>
        <v>0.11061330749565125</v>
      </c>
      <c r="E13" s="29">
        <f t="shared" si="2"/>
        <v>0.11893102809617567</v>
      </c>
      <c r="F13" s="21"/>
      <c r="G13" s="29">
        <f t="shared" si="3"/>
        <v>0.11893102809617567</v>
      </c>
      <c r="H13" s="29">
        <f t="shared" si="4"/>
        <v>0.11893102809617567</v>
      </c>
      <c r="I13" s="29">
        <f t="shared" si="5"/>
        <v>0.11893102809617567</v>
      </c>
      <c r="J13" s="9"/>
    </row>
    <row r="14" spans="1:10" x14ac:dyDescent="0.35">
      <c r="A14" s="60"/>
      <c r="B14" s="22" t="s">
        <v>89</v>
      </c>
      <c r="C14" s="22" t="s">
        <v>100</v>
      </c>
      <c r="D14" s="29">
        <f t="shared" si="1"/>
        <v>0.60624706840802423</v>
      </c>
      <c r="E14" s="29">
        <f t="shared" si="2"/>
        <v>0.58153237323607554</v>
      </c>
      <c r="F14" s="21"/>
      <c r="G14" s="29">
        <f t="shared" si="3"/>
        <v>0.58153237323607554</v>
      </c>
      <c r="H14" s="29">
        <f t="shared" si="4"/>
        <v>0.58153237323607554</v>
      </c>
      <c r="I14" s="29">
        <f t="shared" si="5"/>
        <v>0.58153237323607554</v>
      </c>
      <c r="J14" s="9"/>
    </row>
    <row r="15" spans="1:10" x14ac:dyDescent="0.35">
      <c r="A15" s="60"/>
      <c r="B15" s="22" t="s">
        <v>89</v>
      </c>
      <c r="C15" s="22" t="s">
        <v>101</v>
      </c>
      <c r="D15" s="29">
        <f t="shared" si="1"/>
        <v>3.5074563918533301E-3</v>
      </c>
      <c r="E15" s="29">
        <f t="shared" si="2"/>
        <v>4.401542748252431E-3</v>
      </c>
      <c r="F15" s="21"/>
      <c r="G15" s="29">
        <f t="shared" si="3"/>
        <v>4.401542748252431E-3</v>
      </c>
      <c r="H15" s="29">
        <f t="shared" si="4"/>
        <v>4.401542748252431E-3</v>
      </c>
      <c r="I15" s="29">
        <f t="shared" si="5"/>
        <v>4.401542748252431E-3</v>
      </c>
      <c r="J15" s="9"/>
    </row>
    <row r="16" spans="1:10" x14ac:dyDescent="0.35">
      <c r="A16" s="60"/>
      <c r="B16" s="22" t="s">
        <v>89</v>
      </c>
      <c r="C16" s="22" t="s">
        <v>102</v>
      </c>
      <c r="D16" s="29">
        <f t="shared" si="1"/>
        <v>3.0134573476438181E-5</v>
      </c>
      <c r="E16" s="29">
        <f t="shared" si="2"/>
        <v>0</v>
      </c>
      <c r="F16" s="21"/>
      <c r="G16" s="29">
        <f t="shared" si="3"/>
        <v>0</v>
      </c>
      <c r="H16" s="29">
        <f t="shared" si="4"/>
        <v>0</v>
      </c>
      <c r="I16" s="29">
        <f t="shared" si="5"/>
        <v>0</v>
      </c>
      <c r="J16" s="9"/>
    </row>
    <row r="17" spans="1:10" x14ac:dyDescent="0.35">
      <c r="A17" s="60"/>
      <c r="B17" s="22" t="s">
        <v>89</v>
      </c>
      <c r="C17" s="22" t="s">
        <v>97</v>
      </c>
      <c r="D17" s="29">
        <f t="shared" si="1"/>
        <v>0.43957669990742432</v>
      </c>
      <c r="E17" s="29">
        <f t="shared" si="2"/>
        <v>0.28532514757775757</v>
      </c>
      <c r="F17" s="21"/>
      <c r="G17" s="29">
        <f t="shared" si="3"/>
        <v>0.41267388551802731</v>
      </c>
      <c r="H17" s="29">
        <f t="shared" si="4"/>
        <v>0.41267388551802731</v>
      </c>
      <c r="I17" s="29">
        <f t="shared" si="5"/>
        <v>0.41267388551802731</v>
      </c>
      <c r="J17" s="9"/>
    </row>
  </sheetData>
  <sheetProtection algorithmName="SHA-512" hashValue="OCUR5V1dmvzsLeBtBSRgwxR1ArYWwZsHEbSUAD0umjDcaZL/JR35S2J9+FaozwzSboF/hbNzaGimDHpuT4Mt6g==" saltValue="8gd2S5IdniKqDHL1+9p6GQ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6"/>
  <sheetViews>
    <sheetView zoomScale="60" workbookViewId="0">
      <selection activeCell="G13" sqref="G13"/>
    </sheetView>
  </sheetViews>
  <sheetFormatPr defaultRowHeight="14.5" x14ac:dyDescent="0.35"/>
  <cols>
    <col min="1" max="1" width="26.453125" bestFit="1" customWidth="1"/>
    <col min="2" max="2" width="31.81640625" customWidth="1"/>
    <col min="3" max="3" width="62.453125" bestFit="1" customWidth="1"/>
    <col min="4" max="4" width="15.453125" customWidth="1"/>
    <col min="5" max="5" width="35.7265625" bestFit="1" customWidth="1"/>
    <col min="6" max="6" width="17.26953125" customWidth="1"/>
    <col min="7" max="7" width="25.08984375" bestFit="1" customWidth="1"/>
    <col min="8" max="8" width="15.453125" customWidth="1"/>
    <col min="9" max="9" width="25.08984375" bestFit="1" customWidth="1"/>
    <col min="10" max="10" width="15.453125" customWidth="1"/>
    <col min="11" max="11" width="25.08984375" bestFit="1" customWidth="1"/>
    <col min="12" max="12" width="15.453125" customWidth="1"/>
  </cols>
  <sheetData>
    <row r="1" spans="1:12" x14ac:dyDescent="0.35">
      <c r="A1" s="60"/>
      <c r="B1" s="24" t="s">
        <v>77</v>
      </c>
      <c r="C1" s="24" t="s">
        <v>78</v>
      </c>
      <c r="D1" s="24" t="s">
        <v>79</v>
      </c>
      <c r="E1" s="24" t="s">
        <v>80</v>
      </c>
      <c r="F1" s="24" t="s">
        <v>81</v>
      </c>
      <c r="G1" s="24" t="s">
        <v>103</v>
      </c>
      <c r="H1" s="24" t="s">
        <v>82</v>
      </c>
      <c r="I1" s="24" t="s">
        <v>103</v>
      </c>
      <c r="J1" s="24" t="s">
        <v>82</v>
      </c>
      <c r="K1" s="24" t="s">
        <v>103</v>
      </c>
      <c r="L1" s="24" t="s">
        <v>82</v>
      </c>
    </row>
    <row r="2" spans="1:12" x14ac:dyDescent="0.35">
      <c r="A2" s="60"/>
      <c r="B2" s="25"/>
      <c r="C2" s="25"/>
      <c r="D2" s="24" t="s">
        <v>83</v>
      </c>
      <c r="E2" s="24" t="s">
        <v>84</v>
      </c>
      <c r="F2" s="24" t="s">
        <v>85</v>
      </c>
      <c r="G2" s="24"/>
      <c r="H2" s="24">
        <v>2027</v>
      </c>
      <c r="I2" s="24"/>
      <c r="J2" s="24" t="s">
        <v>87</v>
      </c>
      <c r="K2" s="24"/>
      <c r="L2" s="24" t="s">
        <v>88</v>
      </c>
    </row>
    <row r="3" spans="1:12" x14ac:dyDescent="0.35">
      <c r="A3" s="60" t="s">
        <v>12</v>
      </c>
      <c r="B3" s="22" t="s">
        <v>89</v>
      </c>
      <c r="C3" s="22" t="s">
        <v>104</v>
      </c>
      <c r="D3" s="23">
        <v>312028.82</v>
      </c>
      <c r="E3" s="23">
        <v>328734.00000300002</v>
      </c>
      <c r="F3" s="29">
        <f t="shared" ref="F3:F25" si="0">IFERROR(E3/D3-1,0)</f>
        <v>5.3537298263025779E-2</v>
      </c>
      <c r="G3" s="74">
        <v>0</v>
      </c>
      <c r="H3" s="23">
        <f t="shared" ref="H3:H25" si="1">IF(ISBLANK($G3),($E3*(1+$F3)),($E3*(1+$G3)))</f>
        <v>328734.00000300002</v>
      </c>
      <c r="I3" s="74">
        <v>0</v>
      </c>
      <c r="J3" s="23">
        <f t="shared" ref="J3:J25" si="2">IF(ISBLANK($I3),($H3*(1+$F3)),($H3*(1+$I3)))</f>
        <v>328734.00000300002</v>
      </c>
      <c r="K3" s="74">
        <v>0</v>
      </c>
      <c r="L3" s="23">
        <f t="shared" ref="L3:L25" si="3">IF(ISBLANK($K3),($J3*(1+$F3)),($J3*(1+$K3)))</f>
        <v>328734.00000300002</v>
      </c>
    </row>
    <row r="4" spans="1:12" x14ac:dyDescent="0.35">
      <c r="A4" s="60" t="s">
        <v>13</v>
      </c>
      <c r="B4" s="22" t="s">
        <v>89</v>
      </c>
      <c r="C4" s="22" t="s">
        <v>105</v>
      </c>
      <c r="D4" s="23">
        <v>0</v>
      </c>
      <c r="E4" s="23">
        <v>-65529</v>
      </c>
      <c r="F4" s="29">
        <f t="shared" si="0"/>
        <v>0</v>
      </c>
      <c r="G4" s="74">
        <v>0</v>
      </c>
      <c r="H4" s="23">
        <f t="shared" si="1"/>
        <v>-65529</v>
      </c>
      <c r="I4" s="74">
        <v>0</v>
      </c>
      <c r="J4" s="23">
        <f t="shared" si="2"/>
        <v>-65529</v>
      </c>
      <c r="K4" s="74">
        <v>0</v>
      </c>
      <c r="L4" s="23">
        <f t="shared" si="3"/>
        <v>-65529</v>
      </c>
    </row>
    <row r="5" spans="1:12" x14ac:dyDescent="0.35">
      <c r="A5" s="60" t="s">
        <v>14</v>
      </c>
      <c r="B5" s="22" t="s">
        <v>89</v>
      </c>
      <c r="C5" s="22" t="s">
        <v>106</v>
      </c>
      <c r="D5" s="23">
        <v>7608.68</v>
      </c>
      <c r="E5" s="23">
        <v>-3040.82</v>
      </c>
      <c r="F5" s="29">
        <f t="shared" si="0"/>
        <v>-1.3996514507115558</v>
      </c>
      <c r="G5" s="74">
        <v>0</v>
      </c>
      <c r="H5" s="23">
        <f t="shared" si="1"/>
        <v>-3040.82</v>
      </c>
      <c r="I5" s="74">
        <v>0</v>
      </c>
      <c r="J5" s="23">
        <f t="shared" si="2"/>
        <v>-3040.82</v>
      </c>
      <c r="K5" s="74">
        <v>0</v>
      </c>
      <c r="L5" s="23">
        <f t="shared" si="3"/>
        <v>-3040.82</v>
      </c>
    </row>
    <row r="6" spans="1:12" x14ac:dyDescent="0.35">
      <c r="A6" s="60" t="s">
        <v>15</v>
      </c>
      <c r="B6" s="22" t="s">
        <v>89</v>
      </c>
      <c r="C6" s="22" t="s">
        <v>107</v>
      </c>
      <c r="D6" s="23">
        <v>11473.33</v>
      </c>
      <c r="E6" s="23">
        <v>7089.24</v>
      </c>
      <c r="F6" s="29">
        <f t="shared" si="0"/>
        <v>-0.38211138353032648</v>
      </c>
      <c r="G6" s="74">
        <v>0</v>
      </c>
      <c r="H6" s="23">
        <f t="shared" si="1"/>
        <v>7089.24</v>
      </c>
      <c r="I6" s="74">
        <v>0</v>
      </c>
      <c r="J6" s="23">
        <f t="shared" si="2"/>
        <v>7089.24</v>
      </c>
      <c r="K6" s="74">
        <v>0</v>
      </c>
      <c r="L6" s="23">
        <f t="shared" si="3"/>
        <v>7089.24</v>
      </c>
    </row>
    <row r="7" spans="1:12" x14ac:dyDescent="0.35">
      <c r="A7" s="60" t="s">
        <v>16</v>
      </c>
      <c r="B7" s="22" t="s">
        <v>89</v>
      </c>
      <c r="C7" s="22" t="s">
        <v>108</v>
      </c>
      <c r="D7" s="23">
        <v>0</v>
      </c>
      <c r="E7" s="23">
        <v>0</v>
      </c>
      <c r="F7" s="29">
        <f t="shared" si="0"/>
        <v>0</v>
      </c>
      <c r="G7" s="74">
        <v>0</v>
      </c>
      <c r="H7" s="23">
        <f t="shared" si="1"/>
        <v>0</v>
      </c>
      <c r="I7" s="74">
        <v>0</v>
      </c>
      <c r="J7" s="23">
        <f t="shared" si="2"/>
        <v>0</v>
      </c>
      <c r="K7" s="74">
        <v>0</v>
      </c>
      <c r="L7" s="23">
        <f t="shared" si="3"/>
        <v>0</v>
      </c>
    </row>
    <row r="8" spans="1:12" x14ac:dyDescent="0.35">
      <c r="A8" s="60" t="s">
        <v>17</v>
      </c>
      <c r="B8" s="22" t="s">
        <v>89</v>
      </c>
      <c r="C8" s="22" t="s">
        <v>109</v>
      </c>
      <c r="D8" s="23">
        <v>706454.3</v>
      </c>
      <c r="E8" s="23">
        <v>945298.56</v>
      </c>
      <c r="F8" s="29">
        <f t="shared" si="0"/>
        <v>0.3380887624295017</v>
      </c>
      <c r="G8" s="74">
        <v>0</v>
      </c>
      <c r="H8" s="23">
        <f t="shared" si="1"/>
        <v>945298.56</v>
      </c>
      <c r="I8" s="74">
        <v>0</v>
      </c>
      <c r="J8" s="23">
        <f t="shared" si="2"/>
        <v>945298.56</v>
      </c>
      <c r="K8" s="74">
        <v>0</v>
      </c>
      <c r="L8" s="23">
        <f t="shared" si="3"/>
        <v>945298.56</v>
      </c>
    </row>
    <row r="9" spans="1:12" x14ac:dyDescent="0.35">
      <c r="A9" s="60" t="s">
        <v>18</v>
      </c>
      <c r="B9" s="22" t="s">
        <v>89</v>
      </c>
      <c r="C9" s="22" t="s">
        <v>110</v>
      </c>
      <c r="D9" s="23">
        <v>66647.45</v>
      </c>
      <c r="E9" s="23">
        <v>119350.72</v>
      </c>
      <c r="F9" s="29">
        <f t="shared" si="0"/>
        <v>0.79077699146779068</v>
      </c>
      <c r="G9" s="74">
        <v>0</v>
      </c>
      <c r="H9" s="23">
        <f t="shared" si="1"/>
        <v>119350.72</v>
      </c>
      <c r="I9" s="74">
        <v>0</v>
      </c>
      <c r="J9" s="23">
        <f t="shared" si="2"/>
        <v>119350.72</v>
      </c>
      <c r="K9" s="74">
        <v>0</v>
      </c>
      <c r="L9" s="23">
        <f t="shared" si="3"/>
        <v>119350.72</v>
      </c>
    </row>
    <row r="10" spans="1:12" x14ac:dyDescent="0.35">
      <c r="A10" s="60" t="s">
        <v>19</v>
      </c>
      <c r="B10" s="22" t="s">
        <v>89</v>
      </c>
      <c r="C10" s="22" t="s">
        <v>111</v>
      </c>
      <c r="D10" s="23">
        <v>0</v>
      </c>
      <c r="E10" s="23">
        <v>0</v>
      </c>
      <c r="F10" s="29">
        <f t="shared" si="0"/>
        <v>0</v>
      </c>
      <c r="G10" s="74">
        <v>0</v>
      </c>
      <c r="H10" s="23">
        <f t="shared" si="1"/>
        <v>0</v>
      </c>
      <c r="I10" s="74">
        <v>0</v>
      </c>
      <c r="J10" s="23">
        <f t="shared" si="2"/>
        <v>0</v>
      </c>
      <c r="K10" s="74">
        <v>0</v>
      </c>
      <c r="L10" s="23">
        <f t="shared" si="3"/>
        <v>0</v>
      </c>
    </row>
    <row r="11" spans="1:12" x14ac:dyDescent="0.35">
      <c r="A11" s="60" t="s">
        <v>20</v>
      </c>
      <c r="B11" s="22" t="s">
        <v>89</v>
      </c>
      <c r="C11" s="22" t="s">
        <v>112</v>
      </c>
      <c r="D11" s="23">
        <v>0</v>
      </c>
      <c r="E11" s="23">
        <v>0</v>
      </c>
      <c r="F11" s="29">
        <f t="shared" si="0"/>
        <v>0</v>
      </c>
      <c r="G11" s="74">
        <v>0</v>
      </c>
      <c r="H11" s="23">
        <f t="shared" si="1"/>
        <v>0</v>
      </c>
      <c r="I11" s="74">
        <v>0</v>
      </c>
      <c r="J11" s="23">
        <f t="shared" si="2"/>
        <v>0</v>
      </c>
      <c r="K11" s="74">
        <v>0</v>
      </c>
      <c r="L11" s="23">
        <f t="shared" si="3"/>
        <v>0</v>
      </c>
    </row>
    <row r="12" spans="1:12" x14ac:dyDescent="0.35">
      <c r="A12" s="60" t="s">
        <v>21</v>
      </c>
      <c r="B12" s="22" t="s">
        <v>89</v>
      </c>
      <c r="C12" s="22" t="s">
        <v>113</v>
      </c>
      <c r="D12" s="23">
        <v>296969.74</v>
      </c>
      <c r="E12" s="23">
        <v>959676.43</v>
      </c>
      <c r="F12" s="29">
        <f t="shared" si="0"/>
        <v>2.2315630205286237</v>
      </c>
      <c r="G12" s="74">
        <v>0</v>
      </c>
      <c r="H12" s="23">
        <f t="shared" si="1"/>
        <v>959676.43</v>
      </c>
      <c r="I12" s="74">
        <v>0</v>
      </c>
      <c r="J12" s="23">
        <f t="shared" si="2"/>
        <v>959676.43</v>
      </c>
      <c r="K12" s="74">
        <v>0</v>
      </c>
      <c r="L12" s="23">
        <f t="shared" si="3"/>
        <v>959676.43</v>
      </c>
    </row>
    <row r="13" spans="1:12" x14ac:dyDescent="0.35">
      <c r="A13" s="60" t="s">
        <v>22</v>
      </c>
      <c r="B13" s="22" t="s">
        <v>89</v>
      </c>
      <c r="C13" s="22" t="s">
        <v>114</v>
      </c>
      <c r="D13" s="23">
        <v>41335.589999999997</v>
      </c>
      <c r="E13" s="23">
        <v>36097.760000000002</v>
      </c>
      <c r="F13" s="29">
        <f t="shared" si="0"/>
        <v>-0.12671477533041131</v>
      </c>
      <c r="G13" s="74">
        <v>0</v>
      </c>
      <c r="H13" s="23">
        <f t="shared" si="1"/>
        <v>36097.760000000002</v>
      </c>
      <c r="I13" s="74">
        <v>0</v>
      </c>
      <c r="J13" s="23">
        <f t="shared" si="2"/>
        <v>36097.760000000002</v>
      </c>
      <c r="K13" s="74">
        <v>0</v>
      </c>
      <c r="L13" s="23">
        <f t="shared" si="3"/>
        <v>36097.760000000002</v>
      </c>
    </row>
    <row r="14" spans="1:12" x14ac:dyDescent="0.35">
      <c r="A14" s="60" t="s">
        <v>23</v>
      </c>
      <c r="B14" s="22" t="s">
        <v>89</v>
      </c>
      <c r="C14" s="22" t="s">
        <v>115</v>
      </c>
      <c r="D14" s="23">
        <v>0</v>
      </c>
      <c r="E14" s="23">
        <v>0</v>
      </c>
      <c r="F14" s="29">
        <f t="shared" si="0"/>
        <v>0</v>
      </c>
      <c r="G14" s="74">
        <v>0</v>
      </c>
      <c r="H14" s="23">
        <f t="shared" si="1"/>
        <v>0</v>
      </c>
      <c r="I14" s="74">
        <v>0</v>
      </c>
      <c r="J14" s="23">
        <f t="shared" si="2"/>
        <v>0</v>
      </c>
      <c r="K14" s="74">
        <v>0</v>
      </c>
      <c r="L14" s="23">
        <f t="shared" si="3"/>
        <v>0</v>
      </c>
    </row>
    <row r="15" spans="1:12" x14ac:dyDescent="0.35">
      <c r="A15" s="60" t="s">
        <v>24</v>
      </c>
      <c r="B15" s="22" t="s">
        <v>89</v>
      </c>
      <c r="C15" s="22" t="s">
        <v>116</v>
      </c>
      <c r="D15" s="23">
        <v>0</v>
      </c>
      <c r="E15" s="23">
        <v>0</v>
      </c>
      <c r="F15" s="29">
        <f t="shared" si="0"/>
        <v>0</v>
      </c>
      <c r="G15" s="74">
        <v>0</v>
      </c>
      <c r="H15" s="23">
        <f t="shared" si="1"/>
        <v>0</v>
      </c>
      <c r="I15" s="74">
        <v>0</v>
      </c>
      <c r="J15" s="23">
        <f t="shared" si="2"/>
        <v>0</v>
      </c>
      <c r="K15" s="74">
        <v>0</v>
      </c>
      <c r="L15" s="23">
        <f t="shared" si="3"/>
        <v>0</v>
      </c>
    </row>
    <row r="16" spans="1:12" x14ac:dyDescent="0.35">
      <c r="A16" s="60" t="s">
        <v>25</v>
      </c>
      <c r="B16" s="22" t="s">
        <v>89</v>
      </c>
      <c r="C16" s="22" t="s">
        <v>117</v>
      </c>
      <c r="D16" s="23">
        <v>275673.52</v>
      </c>
      <c r="E16" s="23">
        <v>321998.17</v>
      </c>
      <c r="F16" s="29">
        <f t="shared" si="0"/>
        <v>0.16804171107910526</v>
      </c>
      <c r="G16" s="74">
        <v>0</v>
      </c>
      <c r="H16" s="23">
        <f t="shared" si="1"/>
        <v>321998.17</v>
      </c>
      <c r="I16" s="74">
        <v>0</v>
      </c>
      <c r="J16" s="23">
        <f t="shared" si="2"/>
        <v>321998.17</v>
      </c>
      <c r="K16" s="74">
        <v>0</v>
      </c>
      <c r="L16" s="23">
        <f t="shared" si="3"/>
        <v>321998.17</v>
      </c>
    </row>
    <row r="17" spans="1:12" x14ac:dyDescent="0.35">
      <c r="A17" s="60" t="s">
        <v>26</v>
      </c>
      <c r="B17" s="22" t="s">
        <v>89</v>
      </c>
      <c r="C17" s="22" t="s">
        <v>118</v>
      </c>
      <c r="D17" s="23">
        <v>0</v>
      </c>
      <c r="E17" s="23">
        <v>0</v>
      </c>
      <c r="F17" s="29">
        <f t="shared" si="0"/>
        <v>0</v>
      </c>
      <c r="G17" s="74">
        <v>0</v>
      </c>
      <c r="H17" s="23">
        <f t="shared" si="1"/>
        <v>0</v>
      </c>
      <c r="I17" s="74">
        <v>0</v>
      </c>
      <c r="J17" s="23">
        <f t="shared" si="2"/>
        <v>0</v>
      </c>
      <c r="K17" s="74">
        <v>0</v>
      </c>
      <c r="L17" s="23">
        <f t="shared" si="3"/>
        <v>0</v>
      </c>
    </row>
    <row r="18" spans="1:12" x14ac:dyDescent="0.35">
      <c r="A18" s="60" t="s">
        <v>27</v>
      </c>
      <c r="B18" s="22" t="s">
        <v>89</v>
      </c>
      <c r="C18" s="22" t="s">
        <v>119</v>
      </c>
      <c r="D18" s="23">
        <v>0</v>
      </c>
      <c r="E18" s="23">
        <v>0</v>
      </c>
      <c r="F18" s="29">
        <f t="shared" si="0"/>
        <v>0</v>
      </c>
      <c r="G18" s="74">
        <v>0</v>
      </c>
      <c r="H18" s="23">
        <f t="shared" si="1"/>
        <v>0</v>
      </c>
      <c r="I18" s="74">
        <v>0</v>
      </c>
      <c r="J18" s="23">
        <f t="shared" si="2"/>
        <v>0</v>
      </c>
      <c r="K18" s="74">
        <v>0</v>
      </c>
      <c r="L18" s="23">
        <f t="shared" si="3"/>
        <v>0</v>
      </c>
    </row>
    <row r="19" spans="1:12" x14ac:dyDescent="0.35">
      <c r="A19" s="60" t="s">
        <v>28</v>
      </c>
      <c r="B19" s="22" t="s">
        <v>89</v>
      </c>
      <c r="C19" s="22" t="s">
        <v>120</v>
      </c>
      <c r="D19" s="23">
        <v>0</v>
      </c>
      <c r="E19" s="23">
        <v>0</v>
      </c>
      <c r="F19" s="29">
        <f t="shared" si="0"/>
        <v>0</v>
      </c>
      <c r="G19" s="74">
        <v>0</v>
      </c>
      <c r="H19" s="23">
        <f t="shared" si="1"/>
        <v>0</v>
      </c>
      <c r="I19" s="74">
        <v>0</v>
      </c>
      <c r="J19" s="23">
        <f t="shared" si="2"/>
        <v>0</v>
      </c>
      <c r="K19" s="74">
        <v>0</v>
      </c>
      <c r="L19" s="23">
        <f t="shared" si="3"/>
        <v>0</v>
      </c>
    </row>
    <row r="20" spans="1:12" x14ac:dyDescent="0.35">
      <c r="A20" s="60" t="s">
        <v>8</v>
      </c>
      <c r="B20" s="22" t="s">
        <v>89</v>
      </c>
      <c r="C20" s="22" t="s">
        <v>121</v>
      </c>
      <c r="D20" s="23">
        <v>0</v>
      </c>
      <c r="E20" s="23">
        <v>-99</v>
      </c>
      <c r="F20" s="29">
        <f t="shared" si="0"/>
        <v>0</v>
      </c>
      <c r="G20" s="74">
        <v>0</v>
      </c>
      <c r="H20" s="23">
        <f t="shared" si="1"/>
        <v>-99</v>
      </c>
      <c r="I20" s="74">
        <v>0</v>
      </c>
      <c r="J20" s="23">
        <f t="shared" si="2"/>
        <v>-99</v>
      </c>
      <c r="K20" s="74">
        <v>0</v>
      </c>
      <c r="L20" s="23">
        <f t="shared" si="3"/>
        <v>-99</v>
      </c>
    </row>
    <row r="21" spans="1:12" x14ac:dyDescent="0.35">
      <c r="A21" s="60" t="s">
        <v>29</v>
      </c>
      <c r="B21" s="22" t="s">
        <v>89</v>
      </c>
      <c r="C21" s="22" t="s">
        <v>122</v>
      </c>
      <c r="D21" s="23">
        <v>0</v>
      </c>
      <c r="E21" s="23">
        <v>0</v>
      </c>
      <c r="F21" s="29">
        <f t="shared" si="0"/>
        <v>0</v>
      </c>
      <c r="G21" s="74">
        <v>0</v>
      </c>
      <c r="H21" s="23">
        <f t="shared" si="1"/>
        <v>0</v>
      </c>
      <c r="I21" s="74">
        <v>0</v>
      </c>
      <c r="J21" s="23">
        <f t="shared" si="2"/>
        <v>0</v>
      </c>
      <c r="K21" s="74">
        <v>0</v>
      </c>
      <c r="L21" s="23">
        <f t="shared" si="3"/>
        <v>0</v>
      </c>
    </row>
    <row r="22" spans="1:12" x14ac:dyDescent="0.35">
      <c r="A22" s="60" t="s">
        <v>30</v>
      </c>
      <c r="B22" s="22" t="s">
        <v>89</v>
      </c>
      <c r="C22" s="22" t="s">
        <v>123</v>
      </c>
      <c r="D22" s="23">
        <v>0</v>
      </c>
      <c r="E22" s="23">
        <v>0</v>
      </c>
      <c r="F22" s="29">
        <f t="shared" si="0"/>
        <v>0</v>
      </c>
      <c r="G22" s="74">
        <v>0</v>
      </c>
      <c r="H22" s="23">
        <f t="shared" si="1"/>
        <v>0</v>
      </c>
      <c r="I22" s="74">
        <v>0</v>
      </c>
      <c r="J22" s="23">
        <f t="shared" si="2"/>
        <v>0</v>
      </c>
      <c r="K22" s="74">
        <v>0</v>
      </c>
      <c r="L22" s="23">
        <f t="shared" si="3"/>
        <v>0</v>
      </c>
    </row>
    <row r="23" spans="1:12" x14ac:dyDescent="0.35">
      <c r="A23" s="60" t="s">
        <v>31</v>
      </c>
      <c r="B23" s="22" t="s">
        <v>89</v>
      </c>
      <c r="C23" s="22" t="s">
        <v>124</v>
      </c>
      <c r="D23" s="23">
        <v>0</v>
      </c>
      <c r="E23" s="23">
        <v>0</v>
      </c>
      <c r="F23" s="29">
        <f t="shared" si="0"/>
        <v>0</v>
      </c>
      <c r="G23" s="74">
        <v>0</v>
      </c>
      <c r="H23" s="23">
        <f t="shared" si="1"/>
        <v>0</v>
      </c>
      <c r="I23" s="74">
        <v>0</v>
      </c>
      <c r="J23" s="23">
        <f t="shared" si="2"/>
        <v>0</v>
      </c>
      <c r="K23" s="74">
        <v>0</v>
      </c>
      <c r="L23" s="23">
        <f t="shared" si="3"/>
        <v>0</v>
      </c>
    </row>
    <row r="24" spans="1:12" x14ac:dyDescent="0.35">
      <c r="A24" s="60" t="s">
        <v>4</v>
      </c>
      <c r="B24" s="22" t="s">
        <v>89</v>
      </c>
      <c r="C24" s="22" t="s">
        <v>125</v>
      </c>
      <c r="D24" s="23">
        <v>0</v>
      </c>
      <c r="E24" s="23">
        <v>0</v>
      </c>
      <c r="F24" s="29">
        <f t="shared" si="0"/>
        <v>0</v>
      </c>
      <c r="G24" s="74">
        <v>0</v>
      </c>
      <c r="H24" s="23">
        <f t="shared" si="1"/>
        <v>0</v>
      </c>
      <c r="I24" s="74">
        <v>0</v>
      </c>
      <c r="J24" s="23">
        <f t="shared" si="2"/>
        <v>0</v>
      </c>
      <c r="K24" s="74">
        <v>0</v>
      </c>
      <c r="L24" s="23">
        <f t="shared" si="3"/>
        <v>0</v>
      </c>
    </row>
    <row r="25" spans="1:12" x14ac:dyDescent="0.35">
      <c r="A25" s="60" t="s">
        <v>9</v>
      </c>
      <c r="B25" s="22" t="s">
        <v>89</v>
      </c>
      <c r="C25" s="22" t="s">
        <v>126</v>
      </c>
      <c r="D25" s="23">
        <v>0</v>
      </c>
      <c r="E25" s="23">
        <v>0</v>
      </c>
      <c r="F25" s="29">
        <f t="shared" si="0"/>
        <v>0</v>
      </c>
      <c r="G25" s="74">
        <v>0</v>
      </c>
      <c r="H25" s="23">
        <f t="shared" si="1"/>
        <v>0</v>
      </c>
      <c r="I25" s="74">
        <v>0</v>
      </c>
      <c r="J25" s="23">
        <f t="shared" si="2"/>
        <v>0</v>
      </c>
      <c r="K25" s="74">
        <v>0</v>
      </c>
      <c r="L25" s="23">
        <f t="shared" si="3"/>
        <v>0</v>
      </c>
    </row>
    <row r="26" spans="1:12" x14ac:dyDescent="0.35">
      <c r="A26" s="60"/>
      <c r="B26" s="26"/>
      <c r="C26" s="26"/>
      <c r="D26" s="27">
        <f>SUM(D3:D25)</f>
        <v>1718191.4300000002</v>
      </c>
      <c r="E26" s="27">
        <f>SUM(E3:E25)</f>
        <v>2649576.0600029998</v>
      </c>
      <c r="F26" s="28">
        <f>E26/D26-1</f>
        <v>0.54207267813167914</v>
      </c>
      <c r="G26" s="28">
        <f>H26/E26-1</f>
        <v>0</v>
      </c>
      <c r="H26" s="27">
        <f>SUM(H3:H25)</f>
        <v>2649576.0600029998</v>
      </c>
      <c r="I26" s="28">
        <f>J26/H26-1</f>
        <v>0</v>
      </c>
      <c r="J26" s="27">
        <f>SUM(J3:J25)</f>
        <v>2649576.0600029998</v>
      </c>
      <c r="K26" s="28">
        <f>L26/J26-1</f>
        <v>0</v>
      </c>
      <c r="L26" s="27">
        <f>SUM(L3:L25)</f>
        <v>2649576.0600029998</v>
      </c>
    </row>
  </sheetData>
  <sheetProtection algorithmName="SHA-512" hashValue="TMjilIaHU1Z9xozgX8fvyk4/jnByP2zc8v+EeKVFAMvJrfVcLhbx4F+D0aJUP2kKDzpBSi114d6QC8LC20zCUQ==" saltValue="ifEbmNgeOe1id4eIrMQUVA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docMetadata/LabelInfo.xml><?xml version="1.0" encoding="utf-8"?>
<clbl:labelList xmlns:clbl="http://schemas.microsoft.com/office/2020/mipLabelMetadata">
  <clbl:label id="{34fe372f-dfee-4f9b-b101-6a77f0c3c3b5}" enabled="1" method="Standard" siteId="{2cf835d1-453b-472b-9b90-3f6d854ad7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Investment Case Asks - Summary</vt:lpstr>
      <vt:lpstr>Investment Case Asks - Monthly</vt:lpstr>
      <vt:lpstr>Questions to Ask</vt:lpstr>
      <vt:lpstr>Baseline Support --&gt;</vt:lpstr>
      <vt:lpstr>Base - Payroll</vt:lpstr>
      <vt:lpstr>Base - Non-Payroll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Binner, Sharleen</dc:creator>
  <cp:lastModifiedBy>Binner, Sharleen</cp:lastModifiedBy>
  <dcterms:created xsi:type="dcterms:W3CDTF">2015-06-05T18:17:20Z</dcterms:created>
  <dcterms:modified xsi:type="dcterms:W3CDTF">2026-07-10T00:25:58Z</dcterms:modified>
</cp:coreProperties>
</file>